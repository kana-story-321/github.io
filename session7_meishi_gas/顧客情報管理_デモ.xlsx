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入力" sheetId="1" state="visible" r:id="rId1"/>
    <sheet xmlns:r="http://schemas.openxmlformats.org/officeDocument/2006/relationships" name="フォームの回答 1" sheetId="2" state="visible" r:id="rId2"/>
    <sheet xmlns:r="http://schemas.openxmlformats.org/officeDocument/2006/relationships" name="名刺等" sheetId="3" state="visible" r:id="rId3"/>
    <sheet xmlns:r="http://schemas.openxmlformats.org/officeDocument/2006/relationships" name="顧客情報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Yu Gothic"/>
      <b val="1"/>
      <sz val="12"/>
    </font>
    <font>
      <name val="Yu Gothic"/>
      <b val="1"/>
    </font>
    <font>
      <name val="Yu Gothic"/>
      <sz val="10"/>
    </font>
    <font>
      <name val="Yu Gothic"/>
      <b val="1"/>
      <sz val="11"/>
    </font>
  </fonts>
  <fills count="5">
    <fill>
      <patternFill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00F4B084"/>
      </patternFill>
    </fill>
    <fill>
      <patternFill patternType="solid">
        <fgColor rgb="00E2EFD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1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2" fillId="3" borderId="0" applyAlignment="1" pivotButton="0" quotePrefix="0" xfId="0">
      <alignment vertical="center"/>
    </xf>
    <xf numFmtId="0" fontId="0" fillId="4" borderId="2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フォームの回答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orm_Responses" displayName="Form_Responses" ref="A1:K2" headerRowCount="1">
  <tableColumns count="11">
    <tableColumn id="1" name="タイムスタンプ"/>
    <tableColumn id="2" name="氏名（フルネーム）"/>
    <tableColumn id="3" name="連絡先：メールアドレス"/>
    <tableColumn id="4" name="連絡先：電話番号（ハイフンなし）"/>
    <tableColumn id="5" name="年代"/>
    <tableColumn id="6" name="現在の家族構成についてお聞かせください。（複数選択可）"/>
    <tableColumn id="7" name="今回のお困りごとの種類"/>
    <tableColumn id="8" name="お困りごとの具体的な内容を詳しくご記入ください。"/>
    <tableColumn id="9" name="連絡希望時間帯 [平日 (月〜金)]"/>
    <tableColumn id="10" name="連絡希望時間帯 [週末 (土・日)]"/>
    <tableColumn id="11" name="その他、連絡に関する特記事項があればご記入ください。"/>
  </tableColumns>
  <tableStyleInfo name="フォームの回答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style="15" min="1" max="1"/>
  </cols>
  <sheetData>
    <row r="1" ht="30" customHeight="1" s="15">
      <c r="A1" s="16" t="inlineStr">
        <is>
          <t>🟠 名刺・メモのテキストをここに貼り付けてください</t>
        </is>
      </c>
    </row>
    <row r="2" ht="220" customHeight="1" s="15">
      <c r="A2" s="17" t="inlineStr"/>
    </row>
    <row r="4">
      <c r="A4" s="18" t="inlineStr">
        <is>
          <t>【使い方】</t>
        </is>
      </c>
    </row>
    <row r="5">
      <c r="A5" s="19" t="inlineStr">
        <is>
          <t>1. A2 セルに名刺やメモのテキストを貼り付ける（自由フォーマットでOK）</t>
        </is>
      </c>
    </row>
    <row r="6">
      <c r="A6" s="19" t="inlineStr">
        <is>
          <t>2. メニュー「名刺取り込み」→「テキストから1行追加」をクリック</t>
        </is>
      </c>
    </row>
    <row r="7">
      <c r="A7" s="19" t="inlineStr">
        <is>
          <t>3. Gemini API がテキストから項目を抽出し、「名刺等」シートの一番下に1行追加</t>
        </is>
      </c>
    </row>
    <row r="8">
      <c r="A8" s="19" t="inlineStr">
        <is>
          <t>4. 追加が完了すると A2 は自動でクリアされます</t>
        </is>
      </c>
    </row>
    <row r="9">
      <c r="A9" s="19" t="inlineStr"/>
    </row>
    <row r="10">
      <c r="A10" s="20" t="inlineStr">
        <is>
          <t>【初回セットアップ】</t>
        </is>
      </c>
    </row>
    <row r="11">
      <c r="A11" s="19" t="inlineStr">
        <is>
          <t>スクリプトプロパティに GEMINI_API_KEY を設定してください。</t>
        </is>
      </c>
    </row>
    <row r="12">
      <c r="A12" s="19" t="inlineStr">
        <is>
          <t>プロジェクト設定 → スクリプトプロパティ → プロパティを追加</t>
        </is>
      </c>
    </row>
    <row r="13">
      <c r="A13" s="19" t="inlineStr"/>
    </row>
    <row r="14">
      <c r="A14" s="20" t="inlineStr">
        <is>
          <t>【サンプル入力（コピペ用）】</t>
        </is>
      </c>
    </row>
    <row r="15">
      <c r="A15" s="19" t="inlineStr">
        <is>
          <t>佐藤 健一 / 50代 / 自営業（飲食店経営）</t>
        </is>
      </c>
    </row>
    <row r="16">
      <c r="A16" s="19" t="inlineStr">
        <is>
          <t>メール: sato.kenichi@example.com</t>
        </is>
      </c>
    </row>
    <row r="17">
      <c r="A17" s="19" t="inlineStr">
        <is>
          <t>電話: 09011112222</t>
        </is>
      </c>
    </row>
    <row r="18">
      <c r="A18" s="19" t="inlineStr">
        <is>
          <t>家族: 妻と子供2人（中学生・小学生）</t>
        </is>
      </c>
    </row>
    <row r="19">
      <c r="A19" s="19" t="inlineStr">
        <is>
          <t>相談内容: 老後資金と相続について不安あり。とくに事業承継を検討中。</t>
        </is>
      </c>
    </row>
    <row r="20">
      <c r="A20" s="19" t="inlineStr">
        <is>
          <t>希望時間: 平日 17:00以降、土日は午前中希望。</t>
        </is>
      </c>
    </row>
    <row r="21">
      <c r="A21" s="19" t="inlineStr">
        <is>
          <t>備考: 次回面談は 6/15(土) 10:00 から店舗にて。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5" min="1" max="5"/>
    <col width="24.88" customWidth="1" style="15" min="6" max="6"/>
    <col width="18.88" customWidth="1" style="15" min="7" max="7"/>
    <col width="22.75" customWidth="1" style="15" min="8" max="8"/>
    <col width="18.88" customWidth="1" style="15" min="9" max="10"/>
    <col width="24.13" customWidth="1" style="15" min="11" max="11"/>
    <col width="18.88" customWidth="1" style="15" min="12" max="17"/>
  </cols>
  <sheetData>
    <row r="1" ht="22.5" customHeight="1" s="15">
      <c r="A1" s="1" t="inlineStr">
        <is>
          <t>タイムスタンプ</t>
        </is>
      </c>
      <c r="B1" s="1" t="inlineStr">
        <is>
          <t>氏名（フルネーム）</t>
        </is>
      </c>
      <c r="C1" s="1" t="inlineStr">
        <is>
          <t>連絡先：メールアドレス</t>
        </is>
      </c>
      <c r="D1" s="1" t="inlineStr">
        <is>
          <t>連絡先：電話番号（ハイフンなし）</t>
        </is>
      </c>
      <c r="E1" s="1" t="inlineStr">
        <is>
          <t>年代</t>
        </is>
      </c>
      <c r="F1" s="1" t="inlineStr">
        <is>
          <t>現在の家族構成についてお聞かせください。（複数選択可）</t>
        </is>
      </c>
      <c r="G1" s="1" t="inlineStr">
        <is>
          <t>今回のお困りごとの種類</t>
        </is>
      </c>
      <c r="H1" s="1" t="inlineStr">
        <is>
          <t>お困りごとの具体的な内容を詳しくご記入ください。</t>
        </is>
      </c>
      <c r="I1" s="1" t="inlineStr">
        <is>
          <t>連絡希望時間帯 [平日 (月〜金)]</t>
        </is>
      </c>
      <c r="J1" s="1" t="inlineStr">
        <is>
          <t>連絡希望時間帯 [週末 (土・日)]</t>
        </is>
      </c>
      <c r="K1" s="1" t="inlineStr">
        <is>
          <t>その他、連絡に関する特記事項があればご記入ください。</t>
        </is>
      </c>
    </row>
    <row r="2" ht="22.5" customHeight="1" s="15">
      <c r="A2" s="2" t="n">
        <v>46166.54928442129</v>
      </c>
      <c r="B2" s="4" t="inlineStr">
        <is>
          <t>テスト</t>
        </is>
      </c>
      <c r="C2" s="4" t="inlineStr">
        <is>
          <t>test@gmail.com</t>
        </is>
      </c>
      <c r="D2" s="4" t="inlineStr">
        <is>
          <t>090-2222-3333</t>
        </is>
      </c>
      <c r="E2" s="4" t="inlineStr">
        <is>
          <t>50代</t>
        </is>
      </c>
      <c r="F2" s="4" t="inlineStr">
        <is>
          <t>子供と同居（大学生・社会人）</t>
        </is>
      </c>
      <c r="G2" s="4" t="inlineStr">
        <is>
          <t>お金・資産形成に関するご相談</t>
        </is>
      </c>
      <c r="H2" s="4" t="n"/>
      <c r="I2" s="4" t="inlineStr">
        <is>
          <t>午前 (9:00 - 12:00)</t>
        </is>
      </c>
      <c r="J2" s="4" t="inlineStr">
        <is>
          <t>夕方 (17:00 - 20:00)</t>
        </is>
      </c>
      <c r="K2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6"/>
  <sheetViews>
    <sheetView workbookViewId="0">
      <selection activeCell="A1" sqref="A1"/>
    </sheetView>
  </sheetViews>
  <sheetFormatPr baseColWidth="8" defaultColWidth="12.63" defaultRowHeight="15.75" customHeight="1"/>
  <cols>
    <col width="12.38" customWidth="1" style="15" min="1" max="1"/>
    <col width="15.63" customWidth="1" style="15" min="2" max="2"/>
    <col width="21.5" customWidth="1" style="15" min="3" max="3"/>
    <col width="27" customWidth="1" style="15" min="4" max="4"/>
    <col width="4.38" customWidth="1" style="15" min="5" max="5"/>
    <col width="44" customWidth="1" style="15" min="6" max="6"/>
    <col width="67.63" customWidth="1" style="15" min="7" max="7"/>
    <col width="362.38" customWidth="1" style="15" min="8" max="8"/>
    <col width="23.5" customWidth="1" style="15" min="9" max="10"/>
    <col width="208" customWidth="1" style="15" min="11" max="11"/>
  </cols>
  <sheetData>
    <row r="1">
      <c r="A1" s="13" t="inlineStr">
        <is>
          <t>タイムスタンプ</t>
        </is>
      </c>
      <c r="B1" s="13" t="inlineStr">
        <is>
          <t>氏名（フルネーム）</t>
        </is>
      </c>
      <c r="C1" s="13" t="inlineStr">
        <is>
          <t>連絡先：メールアドレス</t>
        </is>
      </c>
      <c r="D1" s="13" t="inlineStr">
        <is>
          <t>連絡先：電話番号（ハイフンなし）</t>
        </is>
      </c>
      <c r="E1" s="13" t="inlineStr">
        <is>
          <t>年代</t>
        </is>
      </c>
      <c r="F1" s="13" t="inlineStr">
        <is>
          <t>現在の家族構成についてお聞かせください。（複数選択可）</t>
        </is>
      </c>
      <c r="G1" s="13" t="inlineStr">
        <is>
          <t>今回のお困りごとの種類</t>
        </is>
      </c>
      <c r="H1" s="13" t="inlineStr">
        <is>
          <t>お困りごとの具体的な内容を詳しくご記入ください。</t>
        </is>
      </c>
      <c r="I1" s="13" t="inlineStr">
        <is>
          <t>連絡希望時間帯 [平日 (月〜金)]</t>
        </is>
      </c>
      <c r="J1" s="13" t="inlineStr">
        <is>
          <t>連絡希望時間帯 [週末 (土・日)]</t>
        </is>
      </c>
      <c r="K1" s="13" t="inlineStr">
        <is>
          <t>その他、連絡に関する特記事項があればご記入ください。</t>
        </is>
      </c>
    </row>
    <row r="2">
      <c r="B2" s="13" t="inlineStr">
        <is>
          <t>鈴木 拓也</t>
        </is>
      </c>
      <c r="C2" s="13" t="inlineStr">
        <is>
          <t>記載なし</t>
        </is>
      </c>
      <c r="D2" s="13" t="inlineStr">
        <is>
          <t>記載なし</t>
        </is>
      </c>
      <c r="E2" s="13" t="inlineStr">
        <is>
          <t>40代</t>
        </is>
      </c>
      <c r="F2" s="13" t="inlineStr">
        <is>
          <t>夫婦（二人暮らし）, 子供と同居（小学生〜高校生）</t>
        </is>
      </c>
      <c r="G2" s="13" t="inlineStr">
        <is>
          <t>死亡保障・医療保障の不足、万が一の際の家族の生活費、子どもの教育費、住宅ローン残債</t>
        </is>
      </c>
      <c r="H2" s="13" t="inlineStr">
        <is>
          <t>自営業のため、自身に何かあったときの家族の生活や、残っている住宅ローン、これからかかってくる子どもの教育費が心配。老後のことも気になるが、まずは「今ある家族の安心」を作りたい。現在は県民共済のみ（月額3,500円程度）で、死亡保障・医療保障ともに最低限の状態。</t>
        </is>
      </c>
      <c r="I2" s="13" t="inlineStr">
        <is>
          <t>記載なし</t>
        </is>
      </c>
      <c r="J2" s="13" t="inlineStr">
        <is>
          <t>記載なし</t>
        </is>
      </c>
      <c r="K2" s="13" t="inlineStr">
        <is>
          <t>次回面談予定：2026年5月24日（日）14:00〜 鈴木様ご自宅にて。想定テーマ：具体的な提案3パターンの比較。宿題：【鈴木様】住宅ローンの団信加入有無の確認、奥様との優先順位の相談 【担当】収入保障保険＋医療保障の提案資料3パターン用意、教育費シミュレーションの試算。</t>
        </is>
      </c>
    </row>
    <row r="3">
      <c r="B3" s="13" t="inlineStr">
        <is>
          <t>佐藤 美穂</t>
        </is>
      </c>
      <c r="C3" s="13" t="inlineStr">
        <is>
          <t>記載なし</t>
        </is>
      </c>
      <c r="D3" s="13" t="inlineStr">
        <is>
          <t>記載なし</t>
        </is>
      </c>
      <c r="E3" s="13" t="inlineStr">
        <is>
          <t>30代</t>
        </is>
      </c>
      <c r="F3" s="13" t="inlineStr">
        <is>
          <t>夫婦（二人暮らし）、子供と同居（未就学児）</t>
        </is>
      </c>
      <c r="G3" s="13" t="inlineStr">
        <is>
          <t>医療保険の見直し、三大疾病の保障追加の検討</t>
        </is>
      </c>
      <c r="H3" s="13" t="inlineStr">
        <is>
          <t>現在加入している医療保険の入院日額（3,000円）が最近の医療費に対して不足しているのではないかと感じている。また、友人のガン治療の話をきっかけに三大疾病（特約や一時金内蔵タイプなど）の保障を付けるべきか悩んでいる。女性疾病特約の有用性も含め、月額予算5,000円〜6,000円の範囲で日帰り入院対応の3パターンの保険試算・比較を希望している。なお、3年前に良性のしこりで日帰り手術を受けた経験があり、各社の引受基準（部位不担保の可能性）の確認も必要としている。</t>
        </is>
      </c>
      <c r="I3" s="13" t="inlineStr">
        <is>
          <t>記載なし</t>
        </is>
      </c>
      <c r="J3" s="13" t="inlineStr">
        <is>
          <t>記載なし</t>
        </is>
      </c>
      <c r="K3" s="13" t="inlineStr">
        <is>
          <t>次回面談予定：2026年5月29日（金）10:30〜 同カフェにて。次回までに担当者は医療保険3商品の比較表、引受基準の確認（消化器系のしこり関連）、予算内の保険料試算を用意すること。お客様はご主人に今回の話を共有しておくこと。</t>
        </is>
      </c>
    </row>
    <row r="4">
      <c r="B4" s="13" t="inlineStr">
        <is>
          <t>花田 さくら</t>
        </is>
      </c>
      <c r="C4" s="13" t="inlineStr">
        <is>
          <t>sakura@bloom-flower.jp</t>
        </is>
      </c>
      <c r="D4" s="13" t="n">
        <v>8011112222</v>
      </c>
      <c r="E4" s="13" t="inlineStr">
        <is>
          <t>不明</t>
        </is>
      </c>
      <c r="F4" s="13" t="inlineStr">
        <is>
          <t>不明</t>
        </is>
      </c>
      <c r="G4" s="13" t="inlineStr">
        <is>
          <t>記載なし</t>
        </is>
      </c>
      <c r="H4" s="13" t="inlineStr">
        <is>
          <t>記載なし</t>
        </is>
      </c>
      <c r="I4" s="13" t="inlineStr">
        <is>
          <t>記載なし</t>
        </is>
      </c>
      <c r="J4" s="13" t="inlineStr">
        <is>
          <t>記載なし</t>
        </is>
      </c>
      <c r="K4" s="13" t="inlineStr">
        <is>
          <t>記載なし</t>
        </is>
      </c>
    </row>
    <row r="5">
      <c r="B5" s="13" t="inlineStr">
        <is>
          <t>鈴木 一郎</t>
        </is>
      </c>
      <c r="C5" s="13" t="inlineStr">
        <is>
          <t>suzuki.ichiro@example.com</t>
        </is>
      </c>
      <c r="D5" s="13" t="n">
        <v>9012345678</v>
      </c>
      <c r="E5" s="13" t="inlineStr">
        <is>
          <t>40代</t>
        </is>
      </c>
      <c r="F5" s="13" t="inlineStr">
        <is>
          <t>夫婦（二人暮らし）, 子供と同居（小学生〜高校生）</t>
        </is>
      </c>
      <c r="G5" s="13" t="inlineStr">
        <is>
          <t>相続</t>
        </is>
      </c>
      <c r="H5" s="13" t="inlineStr">
        <is>
          <t>実家の不動産相続について。兄弟間での遺産分割協議が難航しており、売却すべきか片方が引き継ぐべきかで意見が対立している。専門家を交えて円滑に進めるアドバイスがほしい。</t>
        </is>
      </c>
      <c r="I5" s="13" t="inlineStr">
        <is>
          <t>18:00〜20:00</t>
        </is>
      </c>
      <c r="J5" s="13" t="inlineStr">
        <is>
          <t>13:00〜17:00</t>
        </is>
      </c>
      <c r="K5" s="13" t="inlineStr">
        <is>
          <t>平日は仕事のため18時以降を希望。土日は比較的柔軟に対応可能。</t>
        </is>
      </c>
    </row>
    <row r="6">
      <c r="B6" s="13" t="inlineStr">
        <is>
          <t>佐藤 美咲</t>
        </is>
      </c>
      <c r="C6" s="13" t="inlineStr">
        <is>
          <t>sato.misaki@example.com</t>
        </is>
      </c>
      <c r="D6" s="13" t="n">
        <v>8098765432</v>
      </c>
      <c r="E6" s="13" t="inlineStr">
        <is>
          <t>30代</t>
        </is>
      </c>
      <c r="F6" s="13" t="inlineStr">
        <is>
          <t>独身・一人暮らし</t>
        </is>
      </c>
      <c r="G6" s="13" t="inlineStr">
        <is>
          <t>転職・キャリア</t>
        </is>
      </c>
      <c r="H6" s="13" t="inlineStr">
        <is>
          <t>現在の職場でキャリアアップが見込めず、同業界内での転職を検討中。職務経歴書の添削や、自身の強みを活かせる企業の見極め方に不安がある。</t>
        </is>
      </c>
      <c r="I6" s="13" t="inlineStr">
        <is>
          <t>19:00〜21:00</t>
        </is>
      </c>
      <c r="J6" s="13" t="inlineStr">
        <is>
          <t>10:00〜15:00</t>
        </is>
      </c>
      <c r="K6" s="13" t="inlineStr">
        <is>
          <t>在宅勤務日（水曜）であれば日中も対応できる可能性あり。</t>
        </is>
      </c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2.63" defaultRowHeight="15.75" customHeight="1"/>
  <cols>
    <col width="16.25" customWidth="1" style="15" min="1" max="1"/>
    <col width="16" customWidth="1" style="15" min="2" max="2"/>
    <col width="19.38" customWidth="1" style="15" min="3" max="3"/>
    <col width="27.63" customWidth="1" style="15" min="4" max="4"/>
    <col width="4.5" customWidth="1" style="15" min="5" max="5"/>
    <col width="45.13" customWidth="1" style="15" min="6" max="6"/>
    <col width="24.38" customWidth="1" style="15" min="7" max="7"/>
    <col width="41" customWidth="1" style="15" min="8" max="8"/>
    <col width="24" customWidth="1" style="15" min="9" max="10"/>
    <col width="44.38" customWidth="1" style="15" min="11" max="11"/>
    <col width="118.63" customWidth="1" style="15" min="13" max="13"/>
    <col width="164" customWidth="1" style="15" min="14" max="14"/>
  </cols>
  <sheetData>
    <row r="1">
      <c r="A1" s="8" t="inlineStr">
        <is>
          <t>タイムスタンプ</t>
        </is>
      </c>
      <c r="B1" s="8" t="inlineStr">
        <is>
          <t>氏名（フルネーム）</t>
        </is>
      </c>
      <c r="C1" s="8" t="inlineStr">
        <is>
          <t>連絡先：メールアドレス</t>
        </is>
      </c>
      <c r="D1" s="8" t="inlineStr">
        <is>
          <t>連絡先：電話番号（ハイフンなし）</t>
        </is>
      </c>
      <c r="E1" s="8" t="inlineStr">
        <is>
          <t>年代</t>
        </is>
      </c>
      <c r="F1" s="8" t="inlineStr">
        <is>
          <t>現在の家族構成についてお聞かせください。（複数選択可）</t>
        </is>
      </c>
      <c r="G1" s="8" t="inlineStr">
        <is>
          <t>今回のお困りごとの種類</t>
        </is>
      </c>
      <c r="H1" s="8" t="inlineStr">
        <is>
          <t>お困りごとの具体的な内容を詳しくご記入ください。</t>
        </is>
      </c>
      <c r="I1" s="8" t="inlineStr">
        <is>
          <t>連絡希望時間帯 [平日 (月〜金)]</t>
        </is>
      </c>
      <c r="J1" s="8" t="inlineStr">
        <is>
          <t>連絡希望時間帯 [週末 (土・日)]</t>
        </is>
      </c>
      <c r="K1" s="8" t="inlineStr">
        <is>
          <t>その他、連絡に関する特記事項があればご記入ください。</t>
        </is>
      </c>
      <c r="L1" s="8" t="inlineStr">
        <is>
          <t>面談ステータス</t>
        </is>
      </c>
      <c r="M1" s="8" t="inlineStr">
        <is>
          <t>状況</t>
        </is>
      </c>
      <c r="N1" s="8" t="inlineStr">
        <is>
          <t>次回アクション</t>
        </is>
      </c>
    </row>
    <row r="2" ht="15.75" customHeight="1" s="15">
      <c r="A2" s="9">
        <f>IFERROR(__xludf.DUMMYFUNCTION("QUERY(VSTACK('フォームの回答 1'!A2:K1000, '名刺等'!A2:K1000), ""SELECT * WHERE Col2 IS NOT NULL"")"),46166.54928442129)</f>
        <v/>
      </c>
      <c r="B2" s="12">
        <f>IFERROR(__xludf.DUMMYFUNCTION("""COMPUTED_VALUE"""),"テスト")</f>
        <v/>
      </c>
      <c r="C2" s="12">
        <f>IFERROR(__xludf.DUMMYFUNCTION("""COMPUTED_VALUE"""),"test@gmail.com")</f>
        <v/>
      </c>
      <c r="D2" s="12" t="n"/>
      <c r="E2" s="12">
        <f>IFERROR(__xludf.DUMMYFUNCTION("""COMPUTED_VALUE"""),"50代")</f>
        <v/>
      </c>
      <c r="F2" s="12">
        <f>IFERROR(__xludf.DUMMYFUNCTION("""COMPUTED_VALUE"""),"子供と同居（大学生・社会人）")</f>
        <v/>
      </c>
      <c r="G2" s="12">
        <f>IFERROR(__xludf.DUMMYFUNCTION("""COMPUTED_VALUE"""),"お金・資産形成に関するご相談")</f>
        <v/>
      </c>
      <c r="H2" s="12" t="n"/>
      <c r="I2" s="12">
        <f>IFERROR(__xludf.DUMMYFUNCTION("""COMPUTED_VALUE"""),"午前 (9:00 - 12:00)")</f>
        <v/>
      </c>
      <c r="J2" s="12">
        <f>IFERROR(__xludf.DUMMYFUNCTION("""COMPUTED_VALUE"""),"夕方 (17:00 - 20:00)")</f>
        <v/>
      </c>
      <c r="K2" s="11" t="n"/>
      <c r="L2" s="12" t="n"/>
      <c r="M2" s="12" t="n"/>
      <c r="N2" s="12" t="n"/>
    </row>
    <row r="3" ht="15.75" customHeight="1" s="15">
      <c r="A3" s="9" t="n"/>
      <c r="B3" s="12">
        <f>IFERROR(__xludf.DUMMYFUNCTION("""COMPUTED_VALUE"""),"鈴木 拓也")</f>
        <v/>
      </c>
      <c r="C3" s="12">
        <f>IFERROR(__xludf.DUMMYFUNCTION("""COMPUTED_VALUE"""),"記載なし")</f>
        <v/>
      </c>
      <c r="D3" s="12" t="n"/>
      <c r="E3" s="12">
        <f>IFERROR(__xludf.DUMMYFUNCTION("""COMPUTED_VALUE"""),"40代")</f>
        <v/>
      </c>
      <c r="F3" s="12">
        <f>IFERROR(__xludf.DUMMYFUNCTION("""COMPUTED_VALUE"""),"夫婦（二人暮らし）, 子供と同居（小学生〜高校生）")</f>
        <v/>
      </c>
      <c r="G3" s="12">
        <f>IFERROR(__xludf.DUMMYFUNCTION("""COMPUTED_VALUE"""),"死亡保障・医療保障の不足、万が一の際の家族の生活費、子どもの教育費、住宅ローン残債")</f>
        <v/>
      </c>
      <c r="H3" s="12">
        <f>IFERROR(__xludf.DUMMYFUNCTION("""COMPUTED_VALUE"""),"自営業のため、自身に何かあったときの家族の生活や、残っている住宅ローン、これからかかってくる子どもの教育費が心配。老後のことも気になるが、まずは「今ある家族の安心」を作りたい。現在は県民共済のみ（月額3,500円程度）で、死亡保障・医療保障ともに最低限の状態。")</f>
        <v/>
      </c>
      <c r="I3" s="12">
        <f>IFERROR(__xludf.DUMMYFUNCTION("""COMPUTED_VALUE"""),"記載なし")</f>
        <v/>
      </c>
      <c r="J3" s="12">
        <f>IFERROR(__xludf.DUMMYFUNCTION("""COMPUTED_VALUE"""),"記載なし")</f>
        <v/>
      </c>
      <c r="K3" s="11">
        <f>IFERROR(__xludf.DUMMYFUNCTION("""COMPUTED_VALUE"""),"次回面談予定：2026年5月24日（日）14:00〜 鈴木様ご自宅にて。想定テーマ：具体的な提案3パターンの比較。宿題：【鈴木様】住宅ローンの団信加入有無の確認、奥様との優先順位の相談 【担当】収入保障保険＋医療保障の提案資料3パターン用意、教育費シミュレーションの試算。")</f>
        <v/>
      </c>
      <c r="L3" s="12" t="n"/>
      <c r="M3" s="12" t="inlineStr">
        <is>
          <t>"【現在の状況・面談内容】
・自営業（工務店）。家族構成は妻（パート）、長男（小5）、長女（小2）。
・住宅ローン残18年（自宅兼事務所）。
・現在の保険：夫は県民共済のみ（死亡・医療とも最低限）、妻は独身時からの医療保険（入院3,000円）、子は未加入。
・意向：万が一の際の家族の生活や教育費が心配。まずは「今ある安心」を最優先したい。
・初回面談（5/10）にて、収入保障保険の概要説明、教育費シミュレーション提示。妻の医療保険見直しは優先度低として延期。"	"【次回への宿題・予定】
・顧客宿題：住宅ローンの団信加入有無の確認、夫婦で保障の優先順位について相談。
・担当宿題：収入保障保険＋医療保険の提案資料（3パターン）、教育費シミュレーション（公立/一部私立）の試算作成。
・次回予定：2026年5月24日(日) 14:00〜 鈴木様ご自宅にて、提案3パターンの比較検討。"</t>
        </is>
      </c>
      <c r="N3" s="12" t="inlineStr">
        <is>
          <t>奥様の医療保険（入院日額3,000円）の見直し時期の打診
今回の提案でご主人の「今ある家族の安心」が確保できた場合、次回以降に奥様の医療保障を現代の短期入院・先進医療に対応した形へシフトするスケジュール（時期）を握ります。
老後資金（資産形成）への関心の引き継ぎ
お客様が「老後も気になる」と言及されていたため、今回の掛け捨てベースの保障（安心）が固まった後、将来的に新NISAや変額保険、個人年金などを活用した「貯蓄・運用」の提案へ移行するステップを予告しておきます</t>
        </is>
      </c>
    </row>
    <row r="4" ht="15.75" customHeight="1" s="15">
      <c r="A4" s="9" t="n"/>
      <c r="B4" s="12">
        <f>IFERROR(__xludf.DUMMYFUNCTION("""COMPUTED_VALUE"""),"佐藤 美穂")</f>
        <v/>
      </c>
      <c r="C4" s="12">
        <f>IFERROR(__xludf.DUMMYFUNCTION("""COMPUTED_VALUE"""),"記載なし")</f>
        <v/>
      </c>
      <c r="D4" s="12" t="n"/>
      <c r="E4" s="12">
        <f>IFERROR(__xludf.DUMMYFUNCTION("""COMPUTED_VALUE"""),"30代")</f>
        <v/>
      </c>
      <c r="F4" s="12">
        <f>IFERROR(__xludf.DUMMYFUNCTION("""COMPUTED_VALUE"""),"夫婦（二人暮らし）、子供と同居（未就学児）")</f>
        <v/>
      </c>
      <c r="G4" s="12">
        <f>IFERROR(__xludf.DUMMYFUNCTION("""COMPUTED_VALUE"""),"医療保険の見直し、三大疾病の保障追加の検討")</f>
        <v/>
      </c>
      <c r="H4" s="12">
        <f>IFERROR(__xludf.DUMMYFUNCTION("""COMPUTED_VALUE"""),"現在加入している医療保険の入院日額（3,000円）が最近の医療費に対して不足しているのではないかと感じている。また、友人のガン治療の話をきっかけに三大疾病（特約や一時金内蔵タイプなど）の保障を付けるべきか悩んでいる。女性疾病特約の有用性も含め、月額予算5,000円〜6,000円の範囲で日帰り入院対応の3パターンの保険試算・比較を希望している。なお、3年前に良性のしこりで日帰り手術を受けた経験があり、各社の引受基準（部位不担保の可能性）の確認も必要としている。")</f>
        <v/>
      </c>
      <c r="I4" s="12">
        <f>IFERROR(__xludf.DUMMYFUNCTION("""COMPUTED_VALUE"""),"記載なし")</f>
        <v/>
      </c>
      <c r="J4" s="12">
        <f>IFERROR(__xludf.DUMMYFUNCTION("""COMPUTED_VALUE"""),"記載なし")</f>
        <v/>
      </c>
      <c r="K4" s="11">
        <f>IFERROR(__xludf.DUMMYFUNCTION("""COMPUTED_VALUE"""),"次回面談予定：2026年5月29日（金）10:30〜 同カフェにて。次回までに担当者は医療保険3商品の比較表、引受基準の確認（消化器系のしこり関連）、予算内の保険料試算を用意すること。お客様はご主人に今回の話を共有しておくこと。")</f>
        <v/>
      </c>
      <c r="L4" s="12" t="n"/>
      <c r="M4" s="12" t="n"/>
      <c r="N4" s="12" t="n"/>
    </row>
    <row r="5" ht="15.75" customHeight="1" s="15">
      <c r="A5" s="9" t="n"/>
      <c r="B5" s="12">
        <f>IFERROR(__xludf.DUMMYFUNCTION("""COMPUTED_VALUE"""),"花田 さくら")</f>
        <v/>
      </c>
      <c r="C5" s="12">
        <f>IFERROR(__xludf.DUMMYFUNCTION("""COMPUTED_VALUE"""),"sakura@bloom-flower.jp")</f>
        <v/>
      </c>
      <c r="D5" s="12">
        <f>IFERROR(__xludf.DUMMYFUNCTION("""COMPUTED_VALUE"""),8.011112222E9)</f>
        <v/>
      </c>
      <c r="E5" s="12">
        <f>IFERROR(__xludf.DUMMYFUNCTION("""COMPUTED_VALUE"""),"不明")</f>
        <v/>
      </c>
      <c r="F5" s="12">
        <f>IFERROR(__xludf.DUMMYFUNCTION("""COMPUTED_VALUE"""),"不明")</f>
        <v/>
      </c>
      <c r="G5" s="12">
        <f>IFERROR(__xludf.DUMMYFUNCTION("""COMPUTED_VALUE"""),"記載なし")</f>
        <v/>
      </c>
      <c r="H5" s="12">
        <f>IFERROR(__xludf.DUMMYFUNCTION("""COMPUTED_VALUE"""),"記載なし")</f>
        <v/>
      </c>
      <c r="I5" s="12">
        <f>IFERROR(__xludf.DUMMYFUNCTION("""COMPUTED_VALUE"""),"記載なし")</f>
        <v/>
      </c>
      <c r="J5" s="12">
        <f>IFERROR(__xludf.DUMMYFUNCTION("""COMPUTED_VALUE"""),"記載なし")</f>
        <v/>
      </c>
      <c r="K5" s="11">
        <f>IFERROR(__xludf.DUMMYFUNCTION("""COMPUTED_VALUE"""),"記載なし")</f>
        <v/>
      </c>
      <c r="L5" s="12" t="n"/>
      <c r="M5" s="12" t="n"/>
      <c r="N5" s="12" t="n"/>
    </row>
    <row r="6">
      <c r="A6" s="9" t="n"/>
      <c r="B6" s="12">
        <f>IFERROR(__xludf.DUMMYFUNCTION("""COMPUTED_VALUE"""),"鈴木 一郎")</f>
        <v/>
      </c>
      <c r="C6" s="12">
        <f>IFERROR(__xludf.DUMMYFUNCTION("""COMPUTED_VALUE"""),"suzuki.ichiro@example.com")</f>
        <v/>
      </c>
      <c r="D6" s="12">
        <f>IFERROR(__xludf.DUMMYFUNCTION("""COMPUTED_VALUE"""),9.012345678E9)</f>
        <v/>
      </c>
      <c r="E6" s="12">
        <f>IFERROR(__xludf.DUMMYFUNCTION("""COMPUTED_VALUE"""),"40代")</f>
        <v/>
      </c>
      <c r="F6" s="12">
        <f>IFERROR(__xludf.DUMMYFUNCTION("""COMPUTED_VALUE"""),"夫婦（二人暮らし）, 子供と同居（小学生〜高校生）")</f>
        <v/>
      </c>
      <c r="G6" s="12">
        <f>IFERROR(__xludf.DUMMYFUNCTION("""COMPUTED_VALUE"""),"相続")</f>
        <v/>
      </c>
      <c r="H6" s="12">
        <f>IFERROR(__xludf.DUMMYFUNCTION("""COMPUTED_VALUE"""),"実家の不動産相続について。兄弟間での遺産分割協議が難航しており、売却すべきか片方が引き継ぐべきかで意見が対立している。専門家を交えて円滑に進めるアドバイスがほしい。")</f>
        <v/>
      </c>
      <c r="I6" s="12">
        <f>IFERROR(__xludf.DUMMYFUNCTION("""COMPUTED_VALUE"""),"18:00〜20:00")</f>
        <v/>
      </c>
      <c r="J6" s="12">
        <f>IFERROR(__xludf.DUMMYFUNCTION("""COMPUTED_VALUE"""),"13:00〜17:00")</f>
        <v/>
      </c>
      <c r="K6" s="11">
        <f>IFERROR(__xludf.DUMMYFUNCTION("""COMPUTED_VALUE"""),"平日は仕事のため18時以降を希望。土日は比較的柔軟に対応可能。")</f>
        <v/>
      </c>
      <c r="L6" s="12" t="n"/>
      <c r="M6" s="12" t="n"/>
      <c r="N6" s="12" t="n"/>
    </row>
    <row r="7">
      <c r="A7" s="9" t="n"/>
      <c r="B7" s="12">
        <f>IFERROR(__xludf.DUMMYFUNCTION("""COMPUTED_VALUE"""),"佐藤 美咲")</f>
        <v/>
      </c>
      <c r="C7" s="12">
        <f>IFERROR(__xludf.DUMMYFUNCTION("""COMPUTED_VALUE"""),"sato.misaki@example.com")</f>
        <v/>
      </c>
      <c r="D7" s="12">
        <f>IFERROR(__xludf.DUMMYFUNCTION("""COMPUTED_VALUE"""),8.098765432E9)</f>
        <v/>
      </c>
      <c r="E7" s="12">
        <f>IFERROR(__xludf.DUMMYFUNCTION("""COMPUTED_VALUE"""),"30代")</f>
        <v/>
      </c>
      <c r="F7" s="12">
        <f>IFERROR(__xludf.DUMMYFUNCTION("""COMPUTED_VALUE"""),"独身・一人暮らし")</f>
        <v/>
      </c>
      <c r="G7" s="12">
        <f>IFERROR(__xludf.DUMMYFUNCTION("""COMPUTED_VALUE"""),"転職・キャリア")</f>
        <v/>
      </c>
      <c r="H7" s="12">
        <f>IFERROR(__xludf.DUMMYFUNCTION("""COMPUTED_VALUE"""),"現在の職場でキャリアアップが見込めず、同業界内での転職を検討中。職務経歴書の添削や、自身の強みを活かせる企業の見極め方に不安がある。")</f>
        <v/>
      </c>
      <c r="I7" s="12">
        <f>IFERROR(__xludf.DUMMYFUNCTION("""COMPUTED_VALUE"""),"19:00〜21:00")</f>
        <v/>
      </c>
      <c r="J7" s="12">
        <f>IFERROR(__xludf.DUMMYFUNCTION("""COMPUTED_VALUE"""),"10:00〜15:00")</f>
        <v/>
      </c>
      <c r="K7" s="11">
        <f>IFERROR(__xludf.DUMMYFUNCTION("""COMPUTED_VALUE"""),"在宅勤務日（水曜）であれば日中も対応できる可能性あり。")</f>
        <v/>
      </c>
      <c r="L7" s="12" t="n"/>
      <c r="M7" s="12" t="n"/>
      <c r="N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1" t="n"/>
      <c r="L8" s="12" t="n"/>
      <c r="M8" s="12" t="n"/>
      <c r="N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1" t="n"/>
      <c r="L9" s="12" t="n"/>
      <c r="M9" s="12" t="n"/>
      <c r="N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1" t="n"/>
      <c r="L10" s="12" t="n"/>
      <c r="M10" s="12" t="n"/>
      <c r="N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1" t="n"/>
      <c r="L11" s="12" t="n"/>
      <c r="M11" s="12" t="n"/>
      <c r="N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1" t="n"/>
      <c r="L12" s="12" t="n"/>
      <c r="M12" s="12" t="n"/>
      <c r="N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1" t="n"/>
      <c r="L13" s="12" t="n"/>
      <c r="M13" s="12" t="n"/>
      <c r="N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1" t="n"/>
      <c r="L14" s="12" t="n"/>
      <c r="M14" s="12" t="n"/>
      <c r="N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1" t="n"/>
      <c r="L15" s="12" t="n"/>
      <c r="M15" s="12" t="n"/>
      <c r="N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1" t="n"/>
      <c r="L16" s="12" t="n"/>
      <c r="M16" s="12" t="n"/>
      <c r="N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1" t="n"/>
      <c r="L17" s="12" t="n"/>
      <c r="M17" s="12" t="n"/>
      <c r="N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1" t="n"/>
      <c r="L18" s="12" t="n"/>
      <c r="M18" s="12" t="n"/>
      <c r="N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1" t="n"/>
      <c r="L19" s="12" t="n"/>
      <c r="M19" s="12" t="n"/>
      <c r="N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1" t="n"/>
      <c r="L20" s="12" t="n"/>
      <c r="M20" s="12" t="n"/>
      <c r="N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1" t="n"/>
      <c r="L21" s="12" t="n"/>
      <c r="M21" s="12" t="n"/>
      <c r="N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1" t="n"/>
      <c r="L22" s="12" t="n"/>
      <c r="M22" s="12" t="n"/>
      <c r="N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1" t="n"/>
      <c r="L23" s="12" t="n"/>
      <c r="M23" s="12" t="n"/>
      <c r="N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1" t="n"/>
      <c r="L24" s="12" t="n"/>
      <c r="M24" s="12" t="n"/>
      <c r="N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1" t="n"/>
      <c r="L25" s="12" t="n"/>
      <c r="M25" s="12" t="n"/>
      <c r="N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1" t="n"/>
      <c r="L26" s="12" t="n"/>
      <c r="M26" s="12" t="n"/>
      <c r="N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1" t="n"/>
      <c r="L27" s="12" t="n"/>
      <c r="M27" s="12" t="n"/>
      <c r="N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1" t="n"/>
      <c r="L28" s="12" t="n"/>
      <c r="M28" s="12" t="n"/>
      <c r="N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1" t="n"/>
      <c r="L29" s="12" t="n"/>
      <c r="M29" s="12" t="n"/>
      <c r="N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1" t="n"/>
      <c r="L30" s="12" t="n"/>
      <c r="M30" s="12" t="n"/>
      <c r="N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1" t="n"/>
      <c r="L31" s="12" t="n"/>
      <c r="M31" s="12" t="n"/>
      <c r="N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1" t="n"/>
      <c r="L32" s="12" t="n"/>
      <c r="M32" s="12" t="n"/>
      <c r="N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1" t="n"/>
      <c r="L33" s="12" t="n"/>
      <c r="M33" s="12" t="n"/>
      <c r="N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1" t="n"/>
      <c r="L34" s="12" t="n"/>
      <c r="M34" s="12" t="n"/>
      <c r="N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1" t="n"/>
      <c r="L35" s="12" t="n"/>
      <c r="M35" s="12" t="n"/>
      <c r="N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1" t="n"/>
      <c r="L36" s="12" t="n"/>
      <c r="M36" s="12" t="n"/>
      <c r="N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1" t="n"/>
      <c r="L37" s="12" t="n"/>
      <c r="M37" s="12" t="n"/>
      <c r="N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1" t="n"/>
      <c r="L38" s="12" t="n"/>
      <c r="M38" s="12" t="n"/>
      <c r="N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1" t="n"/>
      <c r="L39" s="12" t="n"/>
      <c r="M39" s="12" t="n"/>
      <c r="N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1" t="n"/>
      <c r="L40" s="12" t="n"/>
      <c r="M40" s="12" t="n"/>
      <c r="N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1" t="n"/>
      <c r="L41" s="12" t="n"/>
      <c r="M41" s="12" t="n"/>
      <c r="N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1" t="n"/>
      <c r="L42" s="12" t="n"/>
      <c r="M42" s="12" t="n"/>
      <c r="N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1" t="n"/>
      <c r="L43" s="12" t="n"/>
      <c r="M43" s="12" t="n"/>
      <c r="N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1" t="n"/>
      <c r="L44" s="12" t="n"/>
      <c r="M44" s="12" t="n"/>
      <c r="N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1" t="n"/>
      <c r="L45" s="12" t="n"/>
      <c r="M45" s="12" t="n"/>
      <c r="N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1" t="n"/>
      <c r="L46" s="12" t="n"/>
      <c r="M46" s="12" t="n"/>
      <c r="N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1" t="n"/>
      <c r="L47" s="12" t="n"/>
      <c r="M47" s="12" t="n"/>
      <c r="N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1" t="n"/>
      <c r="L48" s="12" t="n"/>
      <c r="M48" s="12" t="n"/>
      <c r="N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1" t="n"/>
      <c r="L49" s="12" t="n"/>
      <c r="M49" s="12" t="n"/>
      <c r="N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1" t="n"/>
      <c r="L50" s="12" t="n"/>
      <c r="M50" s="12" t="n"/>
      <c r="N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1" t="n"/>
      <c r="L51" s="12" t="n"/>
      <c r="M51" s="12" t="n"/>
      <c r="N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1" t="n"/>
      <c r="L52" s="12" t="n"/>
      <c r="M52" s="12" t="n"/>
      <c r="N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1" t="n"/>
      <c r="L53" s="12" t="n"/>
      <c r="M53" s="12" t="n"/>
      <c r="N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1" t="n"/>
      <c r="L54" s="12" t="n"/>
      <c r="M54" s="12" t="n"/>
      <c r="N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1" t="n"/>
      <c r="L55" s="12" t="n"/>
      <c r="M55" s="12" t="n"/>
      <c r="N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1" t="n"/>
      <c r="L56" s="12" t="n"/>
      <c r="M56" s="12" t="n"/>
      <c r="N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1" t="n"/>
      <c r="L57" s="12" t="n"/>
      <c r="M57" s="12" t="n"/>
      <c r="N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1" t="n"/>
      <c r="L58" s="12" t="n"/>
      <c r="M58" s="12" t="n"/>
      <c r="N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1" t="n"/>
      <c r="L59" s="12" t="n"/>
      <c r="M59" s="12" t="n"/>
      <c r="N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1" t="n"/>
      <c r="L60" s="12" t="n"/>
      <c r="M60" s="12" t="n"/>
      <c r="N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1" t="n"/>
      <c r="L61" s="12" t="n"/>
      <c r="M61" s="12" t="n"/>
      <c r="N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1" t="n"/>
      <c r="L62" s="12" t="n"/>
      <c r="M62" s="12" t="n"/>
      <c r="N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1" t="n"/>
      <c r="L63" s="12" t="n"/>
      <c r="M63" s="12" t="n"/>
      <c r="N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1" t="n"/>
      <c r="L64" s="12" t="n"/>
      <c r="M64" s="12" t="n"/>
      <c r="N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1" t="n"/>
      <c r="L65" s="12" t="n"/>
      <c r="M65" s="12" t="n"/>
      <c r="N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1" t="n"/>
      <c r="L66" s="12" t="n"/>
      <c r="M66" s="12" t="n"/>
      <c r="N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1" t="n"/>
      <c r="L67" s="12" t="n"/>
      <c r="M67" s="12" t="n"/>
      <c r="N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1" t="n"/>
      <c r="L68" s="12" t="n"/>
      <c r="M68" s="12" t="n"/>
      <c r="N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1" t="n"/>
      <c r="L69" s="12" t="n"/>
      <c r="M69" s="12" t="n"/>
      <c r="N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1" t="n"/>
      <c r="L70" s="12" t="n"/>
      <c r="M70" s="12" t="n"/>
      <c r="N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1" t="n"/>
      <c r="L71" s="12" t="n"/>
      <c r="M71" s="12" t="n"/>
      <c r="N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1" t="n"/>
      <c r="L72" s="12" t="n"/>
      <c r="M72" s="12" t="n"/>
      <c r="N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1" t="n"/>
      <c r="L73" s="12" t="n"/>
      <c r="M73" s="12" t="n"/>
      <c r="N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1" t="n"/>
      <c r="L74" s="12" t="n"/>
      <c r="M74" s="12" t="n"/>
      <c r="N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1" t="n"/>
      <c r="L75" s="12" t="n"/>
      <c r="M75" s="12" t="n"/>
      <c r="N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1" t="n"/>
      <c r="L76" s="12" t="n"/>
      <c r="M76" s="12" t="n"/>
      <c r="N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1" t="n"/>
      <c r="L77" s="12" t="n"/>
      <c r="M77" s="12" t="n"/>
      <c r="N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1" t="n"/>
      <c r="L78" s="12" t="n"/>
      <c r="M78" s="12" t="n"/>
      <c r="N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1" t="n"/>
      <c r="L79" s="12" t="n"/>
      <c r="M79" s="12" t="n"/>
      <c r="N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1" t="n"/>
      <c r="L80" s="12" t="n"/>
      <c r="M80" s="12" t="n"/>
      <c r="N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1" t="n"/>
      <c r="L81" s="12" t="n"/>
      <c r="M81" s="12" t="n"/>
      <c r="N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1" t="n"/>
      <c r="L82" s="12" t="n"/>
      <c r="M82" s="12" t="n"/>
      <c r="N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1" t="n"/>
      <c r="L83" s="12" t="n"/>
      <c r="M83" s="12" t="n"/>
      <c r="N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1" t="n"/>
      <c r="L84" s="12" t="n"/>
      <c r="M84" s="12" t="n"/>
      <c r="N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1" t="n"/>
      <c r="L85" s="12" t="n"/>
      <c r="M85" s="12" t="n"/>
      <c r="N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1" t="n"/>
      <c r="L86" s="12" t="n"/>
      <c r="M86" s="12" t="n"/>
      <c r="N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1" t="n"/>
      <c r="L87" s="12" t="n"/>
      <c r="M87" s="12" t="n"/>
      <c r="N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1" t="n"/>
      <c r="L88" s="12" t="n"/>
      <c r="M88" s="12" t="n"/>
      <c r="N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1" t="n"/>
      <c r="L89" s="12" t="n"/>
      <c r="M89" s="12" t="n"/>
      <c r="N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1" t="n"/>
      <c r="L90" s="12" t="n"/>
      <c r="M90" s="12" t="n"/>
      <c r="N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1" t="n"/>
      <c r="L91" s="12" t="n"/>
      <c r="M91" s="12" t="n"/>
      <c r="N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1" t="n"/>
      <c r="L92" s="12" t="n"/>
      <c r="M92" s="12" t="n"/>
      <c r="N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1" t="n"/>
      <c r="L93" s="12" t="n"/>
      <c r="M93" s="12" t="n"/>
      <c r="N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1" t="n"/>
      <c r="L94" s="12" t="n"/>
      <c r="M94" s="12" t="n"/>
      <c r="N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1" t="n"/>
      <c r="L95" s="12" t="n"/>
      <c r="M95" s="12" t="n"/>
      <c r="N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1" t="n"/>
      <c r="L96" s="12" t="n"/>
      <c r="M96" s="12" t="n"/>
      <c r="N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1" t="n"/>
      <c r="L97" s="12" t="n"/>
      <c r="M97" s="12" t="n"/>
      <c r="N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1" t="n"/>
      <c r="L98" s="12" t="n"/>
      <c r="M98" s="12" t="n"/>
      <c r="N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1" t="n"/>
      <c r="L99" s="12" t="n"/>
      <c r="M99" s="12" t="n"/>
      <c r="N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1" t="n"/>
      <c r="L100" s="12" t="n"/>
      <c r="M100" s="12" t="n"/>
      <c r="N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1" t="n"/>
      <c r="L101" s="12" t="n"/>
      <c r="M101" s="12" t="n"/>
      <c r="N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1" t="n"/>
      <c r="L102" s="12" t="n"/>
      <c r="M102" s="12" t="n"/>
      <c r="N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1" t="n"/>
      <c r="L103" s="12" t="n"/>
      <c r="M103" s="12" t="n"/>
      <c r="N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1" t="n"/>
      <c r="L104" s="12" t="n"/>
      <c r="M104" s="12" t="n"/>
      <c r="N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1" t="n"/>
      <c r="L105" s="12" t="n"/>
      <c r="M105" s="12" t="n"/>
      <c r="N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1" t="n"/>
      <c r="L106" s="12" t="n"/>
      <c r="M106" s="12" t="n"/>
      <c r="N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1" t="n"/>
      <c r="L107" s="12" t="n"/>
      <c r="M107" s="12" t="n"/>
      <c r="N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1" t="n"/>
      <c r="L108" s="12" t="n"/>
      <c r="M108" s="12" t="n"/>
      <c r="N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1" t="n"/>
      <c r="L109" s="12" t="n"/>
      <c r="M109" s="12" t="n"/>
      <c r="N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1" t="n"/>
      <c r="L110" s="12" t="n"/>
      <c r="M110" s="12" t="n"/>
      <c r="N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1" t="n"/>
      <c r="L111" s="12" t="n"/>
      <c r="M111" s="12" t="n"/>
      <c r="N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1" t="n"/>
      <c r="L112" s="12" t="n"/>
      <c r="M112" s="12" t="n"/>
      <c r="N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1" t="n"/>
      <c r="L113" s="12" t="n"/>
      <c r="M113" s="12" t="n"/>
      <c r="N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1" t="n"/>
      <c r="L114" s="12" t="n"/>
      <c r="M114" s="12" t="n"/>
      <c r="N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1" t="n"/>
      <c r="L115" s="12" t="n"/>
      <c r="M115" s="12" t="n"/>
      <c r="N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1" t="n"/>
      <c r="L116" s="12" t="n"/>
      <c r="M116" s="12" t="n"/>
      <c r="N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1" t="n"/>
      <c r="L117" s="12" t="n"/>
      <c r="M117" s="12" t="n"/>
      <c r="N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1" t="n"/>
      <c r="L118" s="12" t="n"/>
      <c r="M118" s="12" t="n"/>
      <c r="N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1" t="n"/>
      <c r="L119" s="12" t="n"/>
      <c r="M119" s="12" t="n"/>
      <c r="N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1" t="n"/>
      <c r="L120" s="12" t="n"/>
      <c r="M120" s="12" t="n"/>
      <c r="N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1" t="n"/>
      <c r="L121" s="12" t="n"/>
      <c r="M121" s="12" t="n"/>
      <c r="N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1" t="n"/>
      <c r="L122" s="12" t="n"/>
      <c r="M122" s="12" t="n"/>
      <c r="N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1" t="n"/>
      <c r="L123" s="12" t="n"/>
      <c r="M123" s="12" t="n"/>
      <c r="N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1" t="n"/>
      <c r="L124" s="12" t="n"/>
      <c r="M124" s="12" t="n"/>
      <c r="N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1" t="n"/>
      <c r="L125" s="12" t="n"/>
      <c r="M125" s="12" t="n"/>
      <c r="N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1" t="n"/>
      <c r="L126" s="12" t="n"/>
      <c r="M126" s="12" t="n"/>
      <c r="N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1" t="n"/>
      <c r="L127" s="12" t="n"/>
      <c r="M127" s="12" t="n"/>
      <c r="N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1" t="n"/>
      <c r="L128" s="12" t="n"/>
      <c r="M128" s="12" t="n"/>
      <c r="N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1" t="n"/>
      <c r="L129" s="12" t="n"/>
      <c r="M129" s="12" t="n"/>
      <c r="N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1" t="n"/>
      <c r="L130" s="12" t="n"/>
      <c r="M130" s="12" t="n"/>
      <c r="N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1" t="n"/>
      <c r="L131" s="12" t="n"/>
      <c r="M131" s="12" t="n"/>
      <c r="N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1" t="n"/>
      <c r="L132" s="12" t="n"/>
      <c r="M132" s="12" t="n"/>
      <c r="N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1" t="n"/>
      <c r="L133" s="12" t="n"/>
      <c r="M133" s="12" t="n"/>
      <c r="N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1" t="n"/>
      <c r="L134" s="12" t="n"/>
      <c r="M134" s="12" t="n"/>
      <c r="N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1" t="n"/>
      <c r="L135" s="12" t="n"/>
      <c r="M135" s="12" t="n"/>
      <c r="N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1" t="n"/>
      <c r="L136" s="12" t="n"/>
      <c r="M136" s="12" t="n"/>
      <c r="N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1" t="n"/>
      <c r="L137" s="12" t="n"/>
      <c r="M137" s="12" t="n"/>
      <c r="N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1" t="n"/>
      <c r="L138" s="12" t="n"/>
      <c r="M138" s="12" t="n"/>
      <c r="N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1" t="n"/>
      <c r="L139" s="12" t="n"/>
      <c r="M139" s="12" t="n"/>
      <c r="N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1" t="n"/>
      <c r="L140" s="12" t="n"/>
      <c r="M140" s="12" t="n"/>
      <c r="N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1" t="n"/>
      <c r="L141" s="12" t="n"/>
      <c r="M141" s="12" t="n"/>
      <c r="N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1" t="n"/>
      <c r="L142" s="12" t="n"/>
      <c r="M142" s="12" t="n"/>
      <c r="N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1" t="n"/>
      <c r="L143" s="12" t="n"/>
      <c r="M143" s="12" t="n"/>
      <c r="N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1" t="n"/>
      <c r="L144" s="12" t="n"/>
      <c r="M144" s="12" t="n"/>
      <c r="N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1" t="n"/>
      <c r="L145" s="12" t="n"/>
      <c r="M145" s="12" t="n"/>
      <c r="N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1" t="n"/>
      <c r="L146" s="12" t="n"/>
      <c r="M146" s="12" t="n"/>
      <c r="N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1" t="n"/>
      <c r="L147" s="12" t="n"/>
      <c r="M147" s="12" t="n"/>
      <c r="N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1" t="n"/>
      <c r="L148" s="12" t="n"/>
      <c r="M148" s="12" t="n"/>
      <c r="N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1" t="n"/>
      <c r="L149" s="12" t="n"/>
      <c r="M149" s="12" t="n"/>
      <c r="N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1" t="n"/>
      <c r="L150" s="12" t="n"/>
      <c r="M150" s="12" t="n"/>
      <c r="N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1" t="n"/>
      <c r="L151" s="12" t="n"/>
      <c r="M151" s="12" t="n"/>
      <c r="N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1" t="n"/>
      <c r="L152" s="12" t="n"/>
      <c r="M152" s="12" t="n"/>
      <c r="N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1" t="n"/>
      <c r="L153" s="12" t="n"/>
      <c r="M153" s="12" t="n"/>
      <c r="N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1" t="n"/>
      <c r="L154" s="12" t="n"/>
      <c r="M154" s="12" t="n"/>
      <c r="N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1" t="n"/>
      <c r="L155" s="12" t="n"/>
      <c r="M155" s="12" t="n"/>
      <c r="N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1" t="n"/>
      <c r="L156" s="12" t="n"/>
      <c r="M156" s="12" t="n"/>
      <c r="N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1" t="n"/>
      <c r="L157" s="12" t="n"/>
      <c r="M157" s="12" t="n"/>
      <c r="N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1" t="n"/>
      <c r="L158" s="12" t="n"/>
      <c r="M158" s="12" t="n"/>
      <c r="N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1" t="n"/>
      <c r="L159" s="12" t="n"/>
      <c r="M159" s="12" t="n"/>
      <c r="N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1" t="n"/>
      <c r="L160" s="12" t="n"/>
      <c r="M160" s="12" t="n"/>
      <c r="N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1" t="n"/>
      <c r="L161" s="12" t="n"/>
      <c r="M161" s="12" t="n"/>
      <c r="N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1" t="n"/>
      <c r="L162" s="12" t="n"/>
      <c r="M162" s="12" t="n"/>
      <c r="N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1" t="n"/>
      <c r="L163" s="12" t="n"/>
      <c r="M163" s="12" t="n"/>
      <c r="N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1" t="n"/>
      <c r="L164" s="12" t="n"/>
      <c r="M164" s="12" t="n"/>
      <c r="N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1" t="n"/>
      <c r="L165" s="12" t="n"/>
      <c r="M165" s="12" t="n"/>
      <c r="N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1" t="n"/>
      <c r="L166" s="12" t="n"/>
      <c r="M166" s="12" t="n"/>
      <c r="N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1" t="n"/>
      <c r="L167" s="12" t="n"/>
      <c r="M167" s="12" t="n"/>
      <c r="N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1" t="n"/>
      <c r="L168" s="12" t="n"/>
      <c r="M168" s="12" t="n"/>
      <c r="N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1" t="n"/>
      <c r="L169" s="12" t="n"/>
      <c r="M169" s="12" t="n"/>
      <c r="N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1" t="n"/>
      <c r="L170" s="12" t="n"/>
      <c r="M170" s="12" t="n"/>
      <c r="N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1" t="n"/>
      <c r="L171" s="12" t="n"/>
      <c r="M171" s="12" t="n"/>
      <c r="N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1" t="n"/>
      <c r="L172" s="12" t="n"/>
      <c r="M172" s="12" t="n"/>
      <c r="N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1" t="n"/>
      <c r="L173" s="12" t="n"/>
      <c r="M173" s="12" t="n"/>
      <c r="N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1" t="n"/>
      <c r="L174" s="12" t="n"/>
      <c r="M174" s="12" t="n"/>
      <c r="N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1" t="n"/>
      <c r="L175" s="12" t="n"/>
      <c r="M175" s="12" t="n"/>
      <c r="N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1" t="n"/>
      <c r="L176" s="12" t="n"/>
      <c r="M176" s="12" t="n"/>
      <c r="N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1" t="n"/>
      <c r="L177" s="12" t="n"/>
      <c r="M177" s="12" t="n"/>
      <c r="N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1" t="n"/>
      <c r="L178" s="12" t="n"/>
      <c r="M178" s="12" t="n"/>
      <c r="N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1" t="n"/>
      <c r="L179" s="12" t="n"/>
      <c r="M179" s="12" t="n"/>
      <c r="N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1" t="n"/>
      <c r="L180" s="12" t="n"/>
      <c r="M180" s="12" t="n"/>
      <c r="N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1" t="n"/>
      <c r="L181" s="12" t="n"/>
      <c r="M181" s="12" t="n"/>
      <c r="N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1" t="n"/>
      <c r="L182" s="12" t="n"/>
      <c r="M182" s="12" t="n"/>
      <c r="N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1" t="n"/>
      <c r="L183" s="12" t="n"/>
      <c r="M183" s="12" t="n"/>
      <c r="N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1" t="n"/>
      <c r="L184" s="12" t="n"/>
      <c r="M184" s="12" t="n"/>
      <c r="N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1" t="n"/>
      <c r="L185" s="12" t="n"/>
      <c r="M185" s="12" t="n"/>
      <c r="N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1" t="n"/>
      <c r="L186" s="12" t="n"/>
      <c r="M186" s="12" t="n"/>
      <c r="N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1" t="n"/>
      <c r="L187" s="12" t="n"/>
      <c r="M187" s="12" t="n"/>
      <c r="N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1" t="n"/>
      <c r="L188" s="12" t="n"/>
      <c r="M188" s="12" t="n"/>
      <c r="N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1" t="n"/>
      <c r="L189" s="12" t="n"/>
      <c r="M189" s="12" t="n"/>
      <c r="N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1" t="n"/>
      <c r="L190" s="12" t="n"/>
      <c r="M190" s="12" t="n"/>
      <c r="N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1" t="n"/>
      <c r="L191" s="12" t="n"/>
      <c r="M191" s="12" t="n"/>
      <c r="N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1" t="n"/>
      <c r="L192" s="12" t="n"/>
      <c r="M192" s="12" t="n"/>
      <c r="N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1" t="n"/>
      <c r="L193" s="12" t="n"/>
      <c r="M193" s="12" t="n"/>
      <c r="N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1" t="n"/>
      <c r="L194" s="12" t="n"/>
      <c r="M194" s="12" t="n"/>
      <c r="N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1" t="n"/>
      <c r="L195" s="12" t="n"/>
      <c r="M195" s="12" t="n"/>
      <c r="N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1" t="n"/>
      <c r="L196" s="12" t="n"/>
      <c r="M196" s="12" t="n"/>
      <c r="N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1" t="n"/>
      <c r="L197" s="12" t="n"/>
      <c r="M197" s="12" t="n"/>
      <c r="N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1" t="n"/>
      <c r="L198" s="12" t="n"/>
      <c r="M198" s="12" t="n"/>
      <c r="N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1" t="n"/>
      <c r="L199" s="12" t="n"/>
      <c r="M199" s="12" t="n"/>
      <c r="N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1" t="n"/>
      <c r="L200" s="12" t="n"/>
      <c r="M200" s="12" t="n"/>
      <c r="N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1" t="n"/>
      <c r="L201" s="12" t="n"/>
      <c r="M201" s="12" t="n"/>
      <c r="N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1" t="n"/>
      <c r="L202" s="12" t="n"/>
      <c r="M202" s="12" t="n"/>
      <c r="N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1" t="n"/>
      <c r="L203" s="12" t="n"/>
      <c r="M203" s="12" t="n"/>
      <c r="N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1" t="n"/>
      <c r="L204" s="12" t="n"/>
      <c r="M204" s="12" t="n"/>
      <c r="N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1" t="n"/>
      <c r="L205" s="12" t="n"/>
      <c r="M205" s="12" t="n"/>
      <c r="N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1" t="n"/>
      <c r="L206" s="12" t="n"/>
      <c r="M206" s="12" t="n"/>
      <c r="N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1" t="n"/>
      <c r="L207" s="12" t="n"/>
      <c r="M207" s="12" t="n"/>
      <c r="N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1" t="n"/>
      <c r="L208" s="12" t="n"/>
      <c r="M208" s="12" t="n"/>
      <c r="N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1" t="n"/>
      <c r="L209" s="12" t="n"/>
      <c r="M209" s="12" t="n"/>
      <c r="N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1" t="n"/>
      <c r="L210" s="12" t="n"/>
      <c r="M210" s="12" t="n"/>
      <c r="N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1" t="n"/>
      <c r="L211" s="12" t="n"/>
      <c r="M211" s="12" t="n"/>
      <c r="N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1" t="n"/>
      <c r="L212" s="12" t="n"/>
      <c r="M212" s="12" t="n"/>
      <c r="N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1" t="n"/>
      <c r="L213" s="12" t="n"/>
      <c r="M213" s="12" t="n"/>
      <c r="N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1" t="n"/>
      <c r="L214" s="12" t="n"/>
      <c r="M214" s="12" t="n"/>
      <c r="N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1" t="n"/>
      <c r="L215" s="12" t="n"/>
      <c r="M215" s="12" t="n"/>
      <c r="N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1" t="n"/>
      <c r="L216" s="12" t="n"/>
      <c r="M216" s="12" t="n"/>
      <c r="N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1" t="n"/>
      <c r="L217" s="12" t="n"/>
      <c r="M217" s="12" t="n"/>
      <c r="N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1" t="n"/>
      <c r="L218" s="12" t="n"/>
      <c r="M218" s="12" t="n"/>
      <c r="N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1" t="n"/>
      <c r="L219" s="12" t="n"/>
      <c r="M219" s="12" t="n"/>
      <c r="N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1" t="n"/>
      <c r="L220" s="12" t="n"/>
      <c r="M220" s="12" t="n"/>
      <c r="N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1" t="n"/>
      <c r="L221" s="12" t="n"/>
      <c r="M221" s="12" t="n"/>
      <c r="N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1" t="n"/>
      <c r="L222" s="12" t="n"/>
      <c r="M222" s="12" t="n"/>
      <c r="N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1" t="n"/>
      <c r="L223" s="12" t="n"/>
      <c r="M223" s="12" t="n"/>
      <c r="N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1" t="n"/>
      <c r="L224" s="12" t="n"/>
      <c r="M224" s="12" t="n"/>
      <c r="N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1" t="n"/>
      <c r="L225" s="12" t="n"/>
      <c r="M225" s="12" t="n"/>
      <c r="N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1" t="n"/>
      <c r="L226" s="12" t="n"/>
      <c r="M226" s="12" t="n"/>
      <c r="N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1" t="n"/>
      <c r="L227" s="12" t="n"/>
      <c r="M227" s="12" t="n"/>
      <c r="N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1" t="n"/>
      <c r="L228" s="12" t="n"/>
      <c r="M228" s="12" t="n"/>
      <c r="N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1" t="n"/>
      <c r="L229" s="12" t="n"/>
      <c r="M229" s="12" t="n"/>
      <c r="N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1" t="n"/>
      <c r="L230" s="12" t="n"/>
      <c r="M230" s="12" t="n"/>
      <c r="N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1" t="n"/>
      <c r="L231" s="12" t="n"/>
      <c r="M231" s="12" t="n"/>
      <c r="N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1" t="n"/>
      <c r="L232" s="12" t="n"/>
      <c r="M232" s="12" t="n"/>
      <c r="N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1" t="n"/>
      <c r="L233" s="12" t="n"/>
      <c r="M233" s="12" t="n"/>
      <c r="N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1" t="n"/>
      <c r="L234" s="12" t="n"/>
      <c r="M234" s="12" t="n"/>
      <c r="N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1" t="n"/>
      <c r="L235" s="12" t="n"/>
      <c r="M235" s="12" t="n"/>
      <c r="N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1" t="n"/>
      <c r="L236" s="12" t="n"/>
      <c r="M236" s="12" t="n"/>
      <c r="N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1" t="n"/>
      <c r="L237" s="12" t="n"/>
      <c r="M237" s="12" t="n"/>
      <c r="N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1" t="n"/>
      <c r="L238" s="12" t="n"/>
      <c r="M238" s="12" t="n"/>
      <c r="N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1" t="n"/>
      <c r="L239" s="12" t="n"/>
      <c r="M239" s="12" t="n"/>
      <c r="N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1" t="n"/>
      <c r="L240" s="12" t="n"/>
      <c r="M240" s="12" t="n"/>
      <c r="N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1" t="n"/>
      <c r="L241" s="12" t="n"/>
      <c r="M241" s="12" t="n"/>
      <c r="N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1" t="n"/>
      <c r="L242" s="12" t="n"/>
      <c r="M242" s="12" t="n"/>
      <c r="N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1" t="n"/>
      <c r="L243" s="12" t="n"/>
      <c r="M243" s="12" t="n"/>
      <c r="N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1" t="n"/>
      <c r="L244" s="12" t="n"/>
      <c r="M244" s="12" t="n"/>
      <c r="N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1" t="n"/>
      <c r="L245" s="12" t="n"/>
      <c r="M245" s="12" t="n"/>
      <c r="N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1" t="n"/>
      <c r="L246" s="12" t="n"/>
      <c r="M246" s="12" t="n"/>
      <c r="N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1" t="n"/>
      <c r="L247" s="12" t="n"/>
      <c r="M247" s="12" t="n"/>
      <c r="N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1" t="n"/>
      <c r="L248" s="12" t="n"/>
      <c r="M248" s="12" t="n"/>
      <c r="N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1" t="n"/>
      <c r="L249" s="12" t="n"/>
      <c r="M249" s="12" t="n"/>
      <c r="N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1" t="n"/>
      <c r="L250" s="12" t="n"/>
      <c r="M250" s="12" t="n"/>
      <c r="N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1" t="n"/>
      <c r="L251" s="12" t="n"/>
      <c r="M251" s="12" t="n"/>
      <c r="N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1" t="n"/>
      <c r="L252" s="12" t="n"/>
      <c r="M252" s="12" t="n"/>
      <c r="N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1" t="n"/>
      <c r="L253" s="12" t="n"/>
      <c r="M253" s="12" t="n"/>
      <c r="N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1" t="n"/>
      <c r="L254" s="12" t="n"/>
      <c r="M254" s="12" t="n"/>
      <c r="N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1" t="n"/>
      <c r="L255" s="12" t="n"/>
      <c r="M255" s="12" t="n"/>
      <c r="N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1" t="n"/>
      <c r="L256" s="12" t="n"/>
      <c r="M256" s="12" t="n"/>
      <c r="N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1" t="n"/>
      <c r="L257" s="12" t="n"/>
      <c r="M257" s="12" t="n"/>
      <c r="N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1" t="n"/>
      <c r="L258" s="12" t="n"/>
      <c r="M258" s="12" t="n"/>
      <c r="N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1" t="n"/>
      <c r="L259" s="12" t="n"/>
      <c r="M259" s="12" t="n"/>
      <c r="N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1" t="n"/>
      <c r="L260" s="12" t="n"/>
      <c r="M260" s="12" t="n"/>
      <c r="N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1" t="n"/>
      <c r="L261" s="12" t="n"/>
      <c r="M261" s="12" t="n"/>
      <c r="N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1" t="n"/>
      <c r="L262" s="12" t="n"/>
      <c r="M262" s="12" t="n"/>
      <c r="N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1" t="n"/>
      <c r="L263" s="12" t="n"/>
      <c r="M263" s="12" t="n"/>
      <c r="N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1" t="n"/>
      <c r="L264" s="12" t="n"/>
      <c r="M264" s="12" t="n"/>
      <c r="N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1" t="n"/>
      <c r="L265" s="12" t="n"/>
      <c r="M265" s="12" t="n"/>
      <c r="N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1" t="n"/>
      <c r="L266" s="12" t="n"/>
      <c r="M266" s="12" t="n"/>
      <c r="N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1" t="n"/>
      <c r="L267" s="12" t="n"/>
      <c r="M267" s="12" t="n"/>
      <c r="N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1" t="n"/>
      <c r="L268" s="12" t="n"/>
      <c r="M268" s="12" t="n"/>
      <c r="N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1" t="n"/>
      <c r="L269" s="12" t="n"/>
      <c r="M269" s="12" t="n"/>
      <c r="N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1" t="n"/>
      <c r="L270" s="12" t="n"/>
      <c r="M270" s="12" t="n"/>
      <c r="N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1" t="n"/>
      <c r="L271" s="12" t="n"/>
      <c r="M271" s="12" t="n"/>
      <c r="N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1" t="n"/>
      <c r="L272" s="12" t="n"/>
      <c r="M272" s="12" t="n"/>
      <c r="N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1" t="n"/>
      <c r="L273" s="12" t="n"/>
      <c r="M273" s="12" t="n"/>
      <c r="N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1" t="n"/>
      <c r="L274" s="12" t="n"/>
      <c r="M274" s="12" t="n"/>
      <c r="N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1" t="n"/>
      <c r="L275" s="12" t="n"/>
      <c r="M275" s="12" t="n"/>
      <c r="N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1" t="n"/>
      <c r="L276" s="12" t="n"/>
      <c r="M276" s="12" t="n"/>
      <c r="N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1" t="n"/>
      <c r="L277" s="12" t="n"/>
      <c r="M277" s="12" t="n"/>
      <c r="N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1" t="n"/>
      <c r="L278" s="12" t="n"/>
      <c r="M278" s="12" t="n"/>
      <c r="N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1" t="n"/>
      <c r="L279" s="12" t="n"/>
      <c r="M279" s="12" t="n"/>
      <c r="N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1" t="n"/>
      <c r="L280" s="12" t="n"/>
      <c r="M280" s="12" t="n"/>
      <c r="N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1" t="n"/>
      <c r="L281" s="12" t="n"/>
      <c r="M281" s="12" t="n"/>
      <c r="N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1" t="n"/>
      <c r="L282" s="12" t="n"/>
      <c r="M282" s="12" t="n"/>
      <c r="N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1" t="n"/>
      <c r="L283" s="12" t="n"/>
      <c r="M283" s="12" t="n"/>
      <c r="N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1" t="n"/>
      <c r="L284" s="12" t="n"/>
      <c r="M284" s="12" t="n"/>
      <c r="N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1" t="n"/>
      <c r="L285" s="12" t="n"/>
      <c r="M285" s="12" t="n"/>
      <c r="N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1" t="n"/>
      <c r="L286" s="12" t="n"/>
      <c r="M286" s="12" t="n"/>
      <c r="N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1" t="n"/>
      <c r="L287" s="12" t="n"/>
      <c r="M287" s="12" t="n"/>
      <c r="N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1" t="n"/>
      <c r="L288" s="12" t="n"/>
      <c r="M288" s="12" t="n"/>
      <c r="N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1" t="n"/>
      <c r="L289" s="12" t="n"/>
      <c r="M289" s="12" t="n"/>
      <c r="N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1" t="n"/>
      <c r="L290" s="12" t="n"/>
      <c r="M290" s="12" t="n"/>
      <c r="N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1" t="n"/>
      <c r="L291" s="12" t="n"/>
      <c r="M291" s="12" t="n"/>
      <c r="N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1" t="n"/>
      <c r="L292" s="12" t="n"/>
      <c r="M292" s="12" t="n"/>
      <c r="N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1" t="n"/>
      <c r="L293" s="12" t="n"/>
      <c r="M293" s="12" t="n"/>
      <c r="N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1" t="n"/>
      <c r="L294" s="12" t="n"/>
      <c r="M294" s="12" t="n"/>
      <c r="N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1" t="n"/>
      <c r="L295" s="12" t="n"/>
      <c r="M295" s="12" t="n"/>
      <c r="N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1" t="n"/>
      <c r="L296" s="12" t="n"/>
      <c r="M296" s="12" t="n"/>
      <c r="N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1" t="n"/>
      <c r="L297" s="12" t="n"/>
      <c r="M297" s="12" t="n"/>
      <c r="N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1" t="n"/>
      <c r="L298" s="12" t="n"/>
      <c r="M298" s="12" t="n"/>
      <c r="N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1" t="n"/>
      <c r="L299" s="12" t="n"/>
      <c r="M299" s="12" t="n"/>
      <c r="N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1" t="n"/>
      <c r="L300" s="12" t="n"/>
      <c r="M300" s="12" t="n"/>
      <c r="N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1" t="n"/>
      <c r="L301" s="12" t="n"/>
      <c r="M301" s="12" t="n"/>
      <c r="N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1" t="n"/>
      <c r="L302" s="12" t="n"/>
      <c r="M302" s="12" t="n"/>
      <c r="N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1" t="n"/>
      <c r="L303" s="12" t="n"/>
      <c r="M303" s="12" t="n"/>
      <c r="N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1" t="n"/>
      <c r="L304" s="12" t="n"/>
      <c r="M304" s="12" t="n"/>
      <c r="N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1" t="n"/>
      <c r="L305" s="12" t="n"/>
      <c r="M305" s="12" t="n"/>
      <c r="N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1" t="n"/>
      <c r="L306" s="12" t="n"/>
      <c r="M306" s="12" t="n"/>
      <c r="N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1" t="n"/>
      <c r="L307" s="12" t="n"/>
      <c r="M307" s="12" t="n"/>
      <c r="N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1" t="n"/>
      <c r="L308" s="12" t="n"/>
      <c r="M308" s="12" t="n"/>
      <c r="N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1" t="n"/>
      <c r="L309" s="12" t="n"/>
      <c r="M309" s="12" t="n"/>
      <c r="N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1" t="n"/>
      <c r="L310" s="12" t="n"/>
      <c r="M310" s="12" t="n"/>
      <c r="N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1" t="n"/>
      <c r="L311" s="12" t="n"/>
      <c r="M311" s="12" t="n"/>
      <c r="N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1" t="n"/>
      <c r="L312" s="12" t="n"/>
      <c r="M312" s="12" t="n"/>
      <c r="N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1" t="n"/>
      <c r="L313" s="12" t="n"/>
      <c r="M313" s="12" t="n"/>
      <c r="N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1" t="n"/>
      <c r="L314" s="12" t="n"/>
      <c r="M314" s="12" t="n"/>
      <c r="N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1" t="n"/>
      <c r="L315" s="12" t="n"/>
      <c r="M315" s="12" t="n"/>
      <c r="N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1" t="n"/>
      <c r="L316" s="12" t="n"/>
      <c r="M316" s="12" t="n"/>
      <c r="N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1" t="n"/>
      <c r="L317" s="12" t="n"/>
      <c r="M317" s="12" t="n"/>
      <c r="N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1" t="n"/>
      <c r="L318" s="12" t="n"/>
      <c r="M318" s="12" t="n"/>
      <c r="N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1" t="n"/>
      <c r="L319" s="12" t="n"/>
      <c r="M319" s="12" t="n"/>
      <c r="N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1" t="n"/>
      <c r="L320" s="12" t="n"/>
      <c r="M320" s="12" t="n"/>
      <c r="N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1" t="n"/>
      <c r="L321" s="12" t="n"/>
      <c r="M321" s="12" t="n"/>
      <c r="N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1" t="n"/>
      <c r="L322" s="12" t="n"/>
      <c r="M322" s="12" t="n"/>
      <c r="N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1" t="n"/>
      <c r="L323" s="12" t="n"/>
      <c r="M323" s="12" t="n"/>
      <c r="N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1" t="n"/>
      <c r="L324" s="12" t="n"/>
      <c r="M324" s="12" t="n"/>
      <c r="N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1" t="n"/>
      <c r="L325" s="12" t="n"/>
      <c r="M325" s="12" t="n"/>
      <c r="N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1" t="n"/>
      <c r="L326" s="12" t="n"/>
      <c r="M326" s="12" t="n"/>
      <c r="N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1" t="n"/>
      <c r="L327" s="12" t="n"/>
      <c r="M327" s="12" t="n"/>
      <c r="N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1" t="n"/>
      <c r="L328" s="12" t="n"/>
      <c r="M328" s="12" t="n"/>
      <c r="N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1" t="n"/>
      <c r="L329" s="12" t="n"/>
      <c r="M329" s="12" t="n"/>
      <c r="N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1" t="n"/>
      <c r="L330" s="12" t="n"/>
      <c r="M330" s="12" t="n"/>
      <c r="N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1" t="n"/>
      <c r="L331" s="12" t="n"/>
      <c r="M331" s="12" t="n"/>
      <c r="N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1" t="n"/>
      <c r="L332" s="12" t="n"/>
      <c r="M332" s="12" t="n"/>
      <c r="N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1" t="n"/>
      <c r="L333" s="12" t="n"/>
      <c r="M333" s="12" t="n"/>
      <c r="N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1" t="n"/>
      <c r="L334" s="12" t="n"/>
      <c r="M334" s="12" t="n"/>
      <c r="N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1" t="n"/>
      <c r="L335" s="12" t="n"/>
      <c r="M335" s="12" t="n"/>
      <c r="N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1" t="n"/>
      <c r="L336" s="12" t="n"/>
      <c r="M336" s="12" t="n"/>
      <c r="N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1" t="n"/>
      <c r="L337" s="12" t="n"/>
      <c r="M337" s="12" t="n"/>
      <c r="N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1" t="n"/>
      <c r="L338" s="12" t="n"/>
      <c r="M338" s="12" t="n"/>
      <c r="N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1" t="n"/>
      <c r="L339" s="12" t="n"/>
      <c r="M339" s="12" t="n"/>
      <c r="N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1" t="n"/>
      <c r="L340" s="12" t="n"/>
      <c r="M340" s="12" t="n"/>
      <c r="N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1" t="n"/>
      <c r="L341" s="12" t="n"/>
      <c r="M341" s="12" t="n"/>
      <c r="N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1" t="n"/>
      <c r="L342" s="12" t="n"/>
      <c r="M342" s="12" t="n"/>
      <c r="N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1" t="n"/>
      <c r="L343" s="12" t="n"/>
      <c r="M343" s="12" t="n"/>
      <c r="N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1" t="n"/>
      <c r="L344" s="12" t="n"/>
      <c r="M344" s="12" t="n"/>
      <c r="N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1" t="n"/>
      <c r="L345" s="12" t="n"/>
      <c r="M345" s="12" t="n"/>
      <c r="N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1" t="n"/>
      <c r="L346" s="12" t="n"/>
      <c r="M346" s="12" t="n"/>
      <c r="N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1" t="n"/>
      <c r="L347" s="12" t="n"/>
      <c r="M347" s="12" t="n"/>
      <c r="N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1" t="n"/>
      <c r="L348" s="12" t="n"/>
      <c r="M348" s="12" t="n"/>
      <c r="N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1" t="n"/>
      <c r="L349" s="12" t="n"/>
      <c r="M349" s="12" t="n"/>
      <c r="N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1" t="n"/>
      <c r="L350" s="12" t="n"/>
      <c r="M350" s="12" t="n"/>
      <c r="N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1" t="n"/>
      <c r="L351" s="12" t="n"/>
      <c r="M351" s="12" t="n"/>
      <c r="N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1" t="n"/>
      <c r="L352" s="12" t="n"/>
      <c r="M352" s="12" t="n"/>
      <c r="N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1" t="n"/>
      <c r="L353" s="12" t="n"/>
      <c r="M353" s="12" t="n"/>
      <c r="N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1" t="n"/>
      <c r="L354" s="12" t="n"/>
      <c r="M354" s="12" t="n"/>
      <c r="N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1" t="n"/>
      <c r="L355" s="12" t="n"/>
      <c r="M355" s="12" t="n"/>
      <c r="N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1" t="n"/>
      <c r="L356" s="12" t="n"/>
      <c r="M356" s="12" t="n"/>
      <c r="N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1" t="n"/>
      <c r="L357" s="12" t="n"/>
      <c r="M357" s="12" t="n"/>
      <c r="N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1" t="n"/>
      <c r="L358" s="12" t="n"/>
      <c r="M358" s="12" t="n"/>
      <c r="N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1" t="n"/>
      <c r="L359" s="12" t="n"/>
      <c r="M359" s="12" t="n"/>
      <c r="N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1" t="n"/>
      <c r="L360" s="12" t="n"/>
      <c r="M360" s="12" t="n"/>
      <c r="N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1" t="n"/>
      <c r="L361" s="12" t="n"/>
      <c r="M361" s="12" t="n"/>
      <c r="N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1" t="n"/>
      <c r="L362" s="12" t="n"/>
      <c r="M362" s="12" t="n"/>
      <c r="N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1" t="n"/>
      <c r="L363" s="12" t="n"/>
      <c r="M363" s="12" t="n"/>
      <c r="N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1" t="n"/>
      <c r="L364" s="12" t="n"/>
      <c r="M364" s="12" t="n"/>
      <c r="N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1" t="n"/>
      <c r="L365" s="12" t="n"/>
      <c r="M365" s="12" t="n"/>
      <c r="N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1" t="n"/>
      <c r="L366" s="12" t="n"/>
      <c r="M366" s="12" t="n"/>
      <c r="N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1" t="n"/>
      <c r="L367" s="12" t="n"/>
      <c r="M367" s="12" t="n"/>
      <c r="N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1" t="n"/>
      <c r="L368" s="12" t="n"/>
      <c r="M368" s="12" t="n"/>
      <c r="N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1" t="n"/>
      <c r="L369" s="12" t="n"/>
      <c r="M369" s="12" t="n"/>
      <c r="N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1" t="n"/>
      <c r="L370" s="12" t="n"/>
      <c r="M370" s="12" t="n"/>
      <c r="N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1" t="n"/>
      <c r="L371" s="12" t="n"/>
      <c r="M371" s="12" t="n"/>
      <c r="N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1" t="n"/>
      <c r="L372" s="12" t="n"/>
      <c r="M372" s="12" t="n"/>
      <c r="N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1" t="n"/>
      <c r="L373" s="12" t="n"/>
      <c r="M373" s="12" t="n"/>
      <c r="N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1" t="n"/>
      <c r="L374" s="12" t="n"/>
      <c r="M374" s="12" t="n"/>
      <c r="N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1" t="n"/>
      <c r="L375" s="12" t="n"/>
      <c r="M375" s="12" t="n"/>
      <c r="N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1" t="n"/>
      <c r="L376" s="12" t="n"/>
      <c r="M376" s="12" t="n"/>
      <c r="N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1" t="n"/>
      <c r="L377" s="12" t="n"/>
      <c r="M377" s="12" t="n"/>
      <c r="N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1" t="n"/>
      <c r="L378" s="12" t="n"/>
      <c r="M378" s="12" t="n"/>
      <c r="N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1" t="n"/>
      <c r="L379" s="12" t="n"/>
      <c r="M379" s="12" t="n"/>
      <c r="N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1" t="n"/>
      <c r="L380" s="12" t="n"/>
      <c r="M380" s="12" t="n"/>
      <c r="N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1" t="n"/>
      <c r="L381" s="12" t="n"/>
      <c r="M381" s="12" t="n"/>
      <c r="N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1" t="n"/>
      <c r="L382" s="12" t="n"/>
      <c r="M382" s="12" t="n"/>
      <c r="N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1" t="n"/>
      <c r="L383" s="12" t="n"/>
      <c r="M383" s="12" t="n"/>
      <c r="N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1" t="n"/>
      <c r="L384" s="12" t="n"/>
      <c r="M384" s="12" t="n"/>
      <c r="N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1" t="n"/>
      <c r="L385" s="12" t="n"/>
      <c r="M385" s="12" t="n"/>
      <c r="N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1" t="n"/>
      <c r="L386" s="12" t="n"/>
      <c r="M386" s="12" t="n"/>
      <c r="N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1" t="n"/>
      <c r="L387" s="12" t="n"/>
      <c r="M387" s="12" t="n"/>
      <c r="N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1" t="n"/>
      <c r="L388" s="12" t="n"/>
      <c r="M388" s="12" t="n"/>
      <c r="N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1" t="n"/>
      <c r="L389" s="12" t="n"/>
      <c r="M389" s="12" t="n"/>
      <c r="N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1" t="n"/>
      <c r="L390" s="12" t="n"/>
      <c r="M390" s="12" t="n"/>
      <c r="N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1" t="n"/>
      <c r="L391" s="12" t="n"/>
      <c r="M391" s="12" t="n"/>
      <c r="N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1" t="n"/>
      <c r="L392" s="12" t="n"/>
      <c r="M392" s="12" t="n"/>
      <c r="N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1" t="n"/>
      <c r="L393" s="12" t="n"/>
      <c r="M393" s="12" t="n"/>
      <c r="N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1" t="n"/>
      <c r="L394" s="12" t="n"/>
      <c r="M394" s="12" t="n"/>
      <c r="N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1" t="n"/>
      <c r="L395" s="12" t="n"/>
      <c r="M395" s="12" t="n"/>
      <c r="N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1" t="n"/>
      <c r="L396" s="12" t="n"/>
      <c r="M396" s="12" t="n"/>
      <c r="N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1" t="n"/>
      <c r="L397" s="12" t="n"/>
      <c r="M397" s="12" t="n"/>
      <c r="N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1" t="n"/>
      <c r="L398" s="12" t="n"/>
      <c r="M398" s="12" t="n"/>
      <c r="N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1" t="n"/>
      <c r="L399" s="12" t="n"/>
      <c r="M399" s="12" t="n"/>
      <c r="N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1" t="n"/>
      <c r="L400" s="12" t="n"/>
      <c r="M400" s="12" t="n"/>
      <c r="N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1" t="n"/>
      <c r="L401" s="12" t="n"/>
      <c r="M401" s="12" t="n"/>
      <c r="N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1" t="n"/>
      <c r="L402" s="12" t="n"/>
      <c r="M402" s="12" t="n"/>
      <c r="N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1" t="n"/>
      <c r="L403" s="12" t="n"/>
      <c r="M403" s="12" t="n"/>
      <c r="N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1" t="n"/>
      <c r="L404" s="12" t="n"/>
      <c r="M404" s="12" t="n"/>
      <c r="N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1" t="n"/>
      <c r="L405" s="12" t="n"/>
      <c r="M405" s="12" t="n"/>
      <c r="N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1" t="n"/>
      <c r="L406" s="12" t="n"/>
      <c r="M406" s="12" t="n"/>
      <c r="N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1" t="n"/>
      <c r="L407" s="12" t="n"/>
      <c r="M407" s="12" t="n"/>
      <c r="N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1" t="n"/>
      <c r="L408" s="12" t="n"/>
      <c r="M408" s="12" t="n"/>
      <c r="N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1" t="n"/>
      <c r="L409" s="12" t="n"/>
      <c r="M409" s="12" t="n"/>
      <c r="N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1" t="n"/>
      <c r="L410" s="12" t="n"/>
      <c r="M410" s="12" t="n"/>
      <c r="N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1" t="n"/>
      <c r="L411" s="12" t="n"/>
      <c r="M411" s="12" t="n"/>
      <c r="N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1" t="n"/>
      <c r="L412" s="12" t="n"/>
      <c r="M412" s="12" t="n"/>
      <c r="N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1" t="n"/>
      <c r="L413" s="12" t="n"/>
      <c r="M413" s="12" t="n"/>
      <c r="N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1" t="n"/>
      <c r="L414" s="12" t="n"/>
      <c r="M414" s="12" t="n"/>
      <c r="N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1" t="n"/>
      <c r="L415" s="12" t="n"/>
      <c r="M415" s="12" t="n"/>
      <c r="N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1" t="n"/>
      <c r="L416" s="12" t="n"/>
      <c r="M416" s="12" t="n"/>
      <c r="N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1" t="n"/>
      <c r="L417" s="12" t="n"/>
      <c r="M417" s="12" t="n"/>
      <c r="N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1" t="n"/>
      <c r="L418" s="12" t="n"/>
      <c r="M418" s="12" t="n"/>
      <c r="N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1" t="n"/>
      <c r="L419" s="12" t="n"/>
      <c r="M419" s="12" t="n"/>
      <c r="N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1" t="n"/>
      <c r="L420" s="12" t="n"/>
      <c r="M420" s="12" t="n"/>
      <c r="N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1" t="n"/>
      <c r="L421" s="12" t="n"/>
      <c r="M421" s="12" t="n"/>
      <c r="N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1" t="n"/>
      <c r="L422" s="12" t="n"/>
      <c r="M422" s="12" t="n"/>
      <c r="N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1" t="n"/>
      <c r="L423" s="12" t="n"/>
      <c r="M423" s="12" t="n"/>
      <c r="N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1" t="n"/>
      <c r="L424" s="12" t="n"/>
      <c r="M424" s="12" t="n"/>
      <c r="N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1" t="n"/>
      <c r="L425" s="12" t="n"/>
      <c r="M425" s="12" t="n"/>
      <c r="N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1" t="n"/>
      <c r="L426" s="12" t="n"/>
      <c r="M426" s="12" t="n"/>
      <c r="N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1" t="n"/>
      <c r="L427" s="12" t="n"/>
      <c r="M427" s="12" t="n"/>
      <c r="N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1" t="n"/>
      <c r="L428" s="12" t="n"/>
      <c r="M428" s="12" t="n"/>
      <c r="N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1" t="n"/>
      <c r="L429" s="12" t="n"/>
      <c r="M429" s="12" t="n"/>
      <c r="N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1" t="n"/>
      <c r="L430" s="12" t="n"/>
      <c r="M430" s="12" t="n"/>
      <c r="N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1" t="n"/>
      <c r="L431" s="12" t="n"/>
      <c r="M431" s="12" t="n"/>
      <c r="N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1" t="n"/>
      <c r="L432" s="12" t="n"/>
      <c r="M432" s="12" t="n"/>
      <c r="N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1" t="n"/>
      <c r="L433" s="12" t="n"/>
      <c r="M433" s="12" t="n"/>
      <c r="N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1" t="n"/>
      <c r="L434" s="12" t="n"/>
      <c r="M434" s="12" t="n"/>
      <c r="N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1" t="n"/>
      <c r="L435" s="12" t="n"/>
      <c r="M435" s="12" t="n"/>
      <c r="N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1" t="n"/>
      <c r="L436" s="12" t="n"/>
      <c r="M436" s="12" t="n"/>
      <c r="N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1" t="n"/>
      <c r="L437" s="12" t="n"/>
      <c r="M437" s="12" t="n"/>
      <c r="N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1" t="n"/>
      <c r="L438" s="12" t="n"/>
      <c r="M438" s="12" t="n"/>
      <c r="N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1" t="n"/>
      <c r="L439" s="12" t="n"/>
      <c r="M439" s="12" t="n"/>
      <c r="N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1" t="n"/>
      <c r="L440" s="12" t="n"/>
      <c r="M440" s="12" t="n"/>
      <c r="N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1" t="n"/>
      <c r="L441" s="12" t="n"/>
      <c r="M441" s="12" t="n"/>
      <c r="N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1" t="n"/>
      <c r="L442" s="12" t="n"/>
      <c r="M442" s="12" t="n"/>
      <c r="N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1" t="n"/>
      <c r="L443" s="12" t="n"/>
      <c r="M443" s="12" t="n"/>
      <c r="N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1" t="n"/>
      <c r="L444" s="12" t="n"/>
      <c r="M444" s="12" t="n"/>
      <c r="N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1" t="n"/>
      <c r="L445" s="12" t="n"/>
      <c r="M445" s="12" t="n"/>
      <c r="N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1" t="n"/>
      <c r="L446" s="12" t="n"/>
      <c r="M446" s="12" t="n"/>
      <c r="N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1" t="n"/>
      <c r="L447" s="12" t="n"/>
      <c r="M447" s="12" t="n"/>
      <c r="N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1" t="n"/>
      <c r="L448" s="12" t="n"/>
      <c r="M448" s="12" t="n"/>
      <c r="N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1" t="n"/>
      <c r="L449" s="12" t="n"/>
      <c r="M449" s="12" t="n"/>
      <c r="N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1" t="n"/>
      <c r="L450" s="12" t="n"/>
      <c r="M450" s="12" t="n"/>
      <c r="N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1" t="n"/>
      <c r="L451" s="12" t="n"/>
      <c r="M451" s="12" t="n"/>
      <c r="N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1" t="n"/>
      <c r="L452" s="12" t="n"/>
      <c r="M452" s="12" t="n"/>
      <c r="N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1" t="n"/>
      <c r="L453" s="12" t="n"/>
      <c r="M453" s="12" t="n"/>
      <c r="N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1" t="n"/>
      <c r="L454" s="12" t="n"/>
      <c r="M454" s="12" t="n"/>
      <c r="N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1" t="n"/>
      <c r="L455" s="12" t="n"/>
      <c r="M455" s="12" t="n"/>
      <c r="N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1" t="n"/>
      <c r="L456" s="12" t="n"/>
      <c r="M456" s="12" t="n"/>
      <c r="N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1" t="n"/>
      <c r="L457" s="12" t="n"/>
      <c r="M457" s="12" t="n"/>
      <c r="N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1" t="n"/>
      <c r="L458" s="12" t="n"/>
      <c r="M458" s="12" t="n"/>
      <c r="N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1" t="n"/>
      <c r="L459" s="12" t="n"/>
      <c r="M459" s="12" t="n"/>
      <c r="N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1" t="n"/>
      <c r="L460" s="12" t="n"/>
      <c r="M460" s="12" t="n"/>
      <c r="N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1" t="n"/>
      <c r="L461" s="12" t="n"/>
      <c r="M461" s="12" t="n"/>
      <c r="N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1" t="n"/>
      <c r="L462" s="12" t="n"/>
      <c r="M462" s="12" t="n"/>
      <c r="N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1" t="n"/>
      <c r="L463" s="12" t="n"/>
      <c r="M463" s="12" t="n"/>
      <c r="N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1" t="n"/>
      <c r="L464" s="12" t="n"/>
      <c r="M464" s="12" t="n"/>
      <c r="N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1" t="n"/>
      <c r="L465" s="12" t="n"/>
      <c r="M465" s="12" t="n"/>
      <c r="N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1" t="n"/>
      <c r="L466" s="12" t="n"/>
      <c r="M466" s="12" t="n"/>
      <c r="N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1" t="n"/>
      <c r="L467" s="12" t="n"/>
      <c r="M467" s="12" t="n"/>
      <c r="N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1" t="n"/>
      <c r="L468" s="12" t="n"/>
      <c r="M468" s="12" t="n"/>
      <c r="N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1" t="n"/>
      <c r="L469" s="12" t="n"/>
      <c r="M469" s="12" t="n"/>
      <c r="N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1" t="n"/>
      <c r="L470" s="12" t="n"/>
      <c r="M470" s="12" t="n"/>
      <c r="N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1" t="n"/>
      <c r="L471" s="12" t="n"/>
      <c r="M471" s="12" t="n"/>
      <c r="N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1" t="n"/>
      <c r="L472" s="12" t="n"/>
      <c r="M472" s="12" t="n"/>
      <c r="N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1" t="n"/>
      <c r="L473" s="12" t="n"/>
      <c r="M473" s="12" t="n"/>
      <c r="N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1" t="n"/>
      <c r="L474" s="12" t="n"/>
      <c r="M474" s="12" t="n"/>
      <c r="N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1" t="n"/>
      <c r="L475" s="12" t="n"/>
      <c r="M475" s="12" t="n"/>
      <c r="N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1" t="n"/>
      <c r="L476" s="12" t="n"/>
      <c r="M476" s="12" t="n"/>
      <c r="N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1" t="n"/>
      <c r="L477" s="12" t="n"/>
      <c r="M477" s="12" t="n"/>
      <c r="N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1" t="n"/>
      <c r="L478" s="12" t="n"/>
      <c r="M478" s="12" t="n"/>
      <c r="N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1" t="n"/>
      <c r="L479" s="12" t="n"/>
      <c r="M479" s="12" t="n"/>
      <c r="N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1" t="n"/>
      <c r="L480" s="12" t="n"/>
      <c r="M480" s="12" t="n"/>
      <c r="N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1" t="n"/>
      <c r="L481" s="12" t="n"/>
      <c r="M481" s="12" t="n"/>
      <c r="N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1" t="n"/>
      <c r="L482" s="12" t="n"/>
      <c r="M482" s="12" t="n"/>
      <c r="N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1" t="n"/>
      <c r="L483" s="12" t="n"/>
      <c r="M483" s="12" t="n"/>
      <c r="N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1" t="n"/>
      <c r="L484" s="12" t="n"/>
      <c r="M484" s="12" t="n"/>
      <c r="N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1" t="n"/>
      <c r="L485" s="12" t="n"/>
      <c r="M485" s="12" t="n"/>
      <c r="N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1" t="n"/>
      <c r="L486" s="12" t="n"/>
      <c r="M486" s="12" t="n"/>
      <c r="N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1" t="n"/>
      <c r="L487" s="12" t="n"/>
      <c r="M487" s="12" t="n"/>
      <c r="N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1" t="n"/>
      <c r="L488" s="12" t="n"/>
      <c r="M488" s="12" t="n"/>
      <c r="N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1" t="n"/>
      <c r="L489" s="12" t="n"/>
      <c r="M489" s="12" t="n"/>
      <c r="N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1" t="n"/>
      <c r="L490" s="12" t="n"/>
      <c r="M490" s="12" t="n"/>
      <c r="N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1" t="n"/>
      <c r="L491" s="12" t="n"/>
      <c r="M491" s="12" t="n"/>
      <c r="N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1" t="n"/>
      <c r="L492" s="12" t="n"/>
      <c r="M492" s="12" t="n"/>
      <c r="N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1" t="n"/>
      <c r="L493" s="12" t="n"/>
      <c r="M493" s="12" t="n"/>
      <c r="N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1" t="n"/>
      <c r="L494" s="12" t="n"/>
      <c r="M494" s="12" t="n"/>
      <c r="N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1" t="n"/>
      <c r="L495" s="12" t="n"/>
      <c r="M495" s="12" t="n"/>
      <c r="N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1" t="n"/>
      <c r="L496" s="12" t="n"/>
      <c r="M496" s="12" t="n"/>
      <c r="N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1" t="n"/>
      <c r="L497" s="12" t="n"/>
      <c r="M497" s="12" t="n"/>
      <c r="N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1" t="n"/>
      <c r="L498" s="12" t="n"/>
      <c r="M498" s="12" t="n"/>
      <c r="N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1" t="n"/>
      <c r="L499" s="12" t="n"/>
      <c r="M499" s="12" t="n"/>
      <c r="N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1" t="n"/>
      <c r="L500" s="12" t="n"/>
      <c r="M500" s="12" t="n"/>
      <c r="N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1" t="n"/>
      <c r="L501" s="12" t="n"/>
      <c r="M501" s="12" t="n"/>
      <c r="N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1" t="n"/>
      <c r="L502" s="12" t="n"/>
      <c r="M502" s="12" t="n"/>
      <c r="N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1" t="n"/>
      <c r="L503" s="12" t="n"/>
      <c r="M503" s="12" t="n"/>
      <c r="N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1" t="n"/>
      <c r="L504" s="12" t="n"/>
      <c r="M504" s="12" t="n"/>
      <c r="N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1" t="n"/>
      <c r="L505" s="12" t="n"/>
      <c r="M505" s="12" t="n"/>
      <c r="N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1" t="n"/>
      <c r="L506" s="12" t="n"/>
      <c r="M506" s="12" t="n"/>
      <c r="N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1" t="n"/>
      <c r="L507" s="12" t="n"/>
      <c r="M507" s="12" t="n"/>
      <c r="N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1" t="n"/>
      <c r="L508" s="12" t="n"/>
      <c r="M508" s="12" t="n"/>
      <c r="N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1" t="n"/>
      <c r="L509" s="12" t="n"/>
      <c r="M509" s="12" t="n"/>
      <c r="N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1" t="n"/>
      <c r="L510" s="12" t="n"/>
      <c r="M510" s="12" t="n"/>
      <c r="N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1" t="n"/>
      <c r="L511" s="12" t="n"/>
      <c r="M511" s="12" t="n"/>
      <c r="N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1" t="n"/>
      <c r="L512" s="12" t="n"/>
      <c r="M512" s="12" t="n"/>
      <c r="N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1" t="n"/>
      <c r="L513" s="12" t="n"/>
      <c r="M513" s="12" t="n"/>
      <c r="N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1" t="n"/>
      <c r="L514" s="12" t="n"/>
      <c r="M514" s="12" t="n"/>
      <c r="N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1" t="n"/>
      <c r="L515" s="12" t="n"/>
      <c r="M515" s="12" t="n"/>
      <c r="N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1" t="n"/>
      <c r="L516" s="12" t="n"/>
      <c r="M516" s="12" t="n"/>
      <c r="N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1" t="n"/>
      <c r="L517" s="12" t="n"/>
      <c r="M517" s="12" t="n"/>
      <c r="N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1" t="n"/>
      <c r="L518" s="12" t="n"/>
      <c r="M518" s="12" t="n"/>
      <c r="N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1" t="n"/>
      <c r="L519" s="12" t="n"/>
      <c r="M519" s="12" t="n"/>
      <c r="N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1" t="n"/>
      <c r="L520" s="12" t="n"/>
      <c r="M520" s="12" t="n"/>
      <c r="N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1" t="n"/>
      <c r="L521" s="12" t="n"/>
      <c r="M521" s="12" t="n"/>
      <c r="N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1" t="n"/>
      <c r="L522" s="12" t="n"/>
      <c r="M522" s="12" t="n"/>
      <c r="N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1" t="n"/>
      <c r="L523" s="12" t="n"/>
      <c r="M523" s="12" t="n"/>
      <c r="N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1" t="n"/>
      <c r="L524" s="12" t="n"/>
      <c r="M524" s="12" t="n"/>
      <c r="N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1" t="n"/>
      <c r="L525" s="12" t="n"/>
      <c r="M525" s="12" t="n"/>
      <c r="N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1" t="n"/>
      <c r="L526" s="12" t="n"/>
      <c r="M526" s="12" t="n"/>
      <c r="N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1" t="n"/>
      <c r="L527" s="12" t="n"/>
      <c r="M527" s="12" t="n"/>
      <c r="N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1" t="n"/>
      <c r="L528" s="12" t="n"/>
      <c r="M528" s="12" t="n"/>
      <c r="N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1" t="n"/>
      <c r="L529" s="12" t="n"/>
      <c r="M529" s="12" t="n"/>
      <c r="N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1" t="n"/>
      <c r="L530" s="12" t="n"/>
      <c r="M530" s="12" t="n"/>
      <c r="N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1" t="n"/>
      <c r="L531" s="12" t="n"/>
      <c r="M531" s="12" t="n"/>
      <c r="N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1" t="n"/>
      <c r="L532" s="12" t="n"/>
      <c r="M532" s="12" t="n"/>
      <c r="N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1" t="n"/>
      <c r="L533" s="12" t="n"/>
      <c r="M533" s="12" t="n"/>
      <c r="N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1" t="n"/>
      <c r="L534" s="12" t="n"/>
      <c r="M534" s="12" t="n"/>
      <c r="N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1" t="n"/>
      <c r="L535" s="12" t="n"/>
      <c r="M535" s="12" t="n"/>
      <c r="N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1" t="n"/>
      <c r="L536" s="12" t="n"/>
      <c r="M536" s="12" t="n"/>
      <c r="N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1" t="n"/>
      <c r="L537" s="12" t="n"/>
      <c r="M537" s="12" t="n"/>
      <c r="N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1" t="n"/>
      <c r="L538" s="12" t="n"/>
      <c r="M538" s="12" t="n"/>
      <c r="N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1" t="n"/>
      <c r="L539" s="12" t="n"/>
      <c r="M539" s="12" t="n"/>
      <c r="N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1" t="n"/>
      <c r="L540" s="12" t="n"/>
      <c r="M540" s="12" t="n"/>
      <c r="N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1" t="n"/>
      <c r="L541" s="12" t="n"/>
      <c r="M541" s="12" t="n"/>
      <c r="N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1" t="n"/>
      <c r="L542" s="12" t="n"/>
      <c r="M542" s="12" t="n"/>
      <c r="N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1" t="n"/>
      <c r="L543" s="12" t="n"/>
      <c r="M543" s="12" t="n"/>
      <c r="N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1" t="n"/>
      <c r="L544" s="12" t="n"/>
      <c r="M544" s="12" t="n"/>
      <c r="N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1" t="n"/>
      <c r="L545" s="12" t="n"/>
      <c r="M545" s="12" t="n"/>
      <c r="N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1" t="n"/>
      <c r="L546" s="12" t="n"/>
      <c r="M546" s="12" t="n"/>
      <c r="N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1" t="n"/>
      <c r="L547" s="12" t="n"/>
      <c r="M547" s="12" t="n"/>
      <c r="N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1" t="n"/>
      <c r="L548" s="12" t="n"/>
      <c r="M548" s="12" t="n"/>
      <c r="N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1" t="n"/>
      <c r="L549" s="12" t="n"/>
      <c r="M549" s="12" t="n"/>
      <c r="N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1" t="n"/>
      <c r="L550" s="12" t="n"/>
      <c r="M550" s="12" t="n"/>
      <c r="N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1" t="n"/>
      <c r="L551" s="12" t="n"/>
      <c r="M551" s="12" t="n"/>
      <c r="N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1" t="n"/>
      <c r="L552" s="12" t="n"/>
      <c r="M552" s="12" t="n"/>
      <c r="N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1" t="n"/>
      <c r="L553" s="12" t="n"/>
      <c r="M553" s="12" t="n"/>
      <c r="N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1" t="n"/>
      <c r="L554" s="12" t="n"/>
      <c r="M554" s="12" t="n"/>
      <c r="N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1" t="n"/>
      <c r="L555" s="12" t="n"/>
      <c r="M555" s="12" t="n"/>
      <c r="N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1" t="n"/>
      <c r="L556" s="12" t="n"/>
      <c r="M556" s="12" t="n"/>
      <c r="N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1" t="n"/>
      <c r="L557" s="12" t="n"/>
      <c r="M557" s="12" t="n"/>
      <c r="N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1" t="n"/>
      <c r="L558" s="12" t="n"/>
      <c r="M558" s="12" t="n"/>
      <c r="N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1" t="n"/>
      <c r="L559" s="12" t="n"/>
      <c r="M559" s="12" t="n"/>
      <c r="N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1" t="n"/>
      <c r="L560" s="12" t="n"/>
      <c r="M560" s="12" t="n"/>
      <c r="N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1" t="n"/>
      <c r="L561" s="12" t="n"/>
      <c r="M561" s="12" t="n"/>
      <c r="N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1" t="n"/>
      <c r="L562" s="12" t="n"/>
      <c r="M562" s="12" t="n"/>
      <c r="N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1" t="n"/>
      <c r="L563" s="12" t="n"/>
      <c r="M563" s="12" t="n"/>
      <c r="N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1" t="n"/>
      <c r="L564" s="12" t="n"/>
      <c r="M564" s="12" t="n"/>
      <c r="N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1" t="n"/>
      <c r="L565" s="12" t="n"/>
      <c r="M565" s="12" t="n"/>
      <c r="N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1" t="n"/>
      <c r="L566" s="12" t="n"/>
      <c r="M566" s="12" t="n"/>
      <c r="N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1" t="n"/>
      <c r="L567" s="12" t="n"/>
      <c r="M567" s="12" t="n"/>
      <c r="N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1" t="n"/>
      <c r="L568" s="12" t="n"/>
      <c r="M568" s="12" t="n"/>
      <c r="N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1" t="n"/>
      <c r="L569" s="12" t="n"/>
      <c r="M569" s="12" t="n"/>
      <c r="N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1" t="n"/>
      <c r="L570" s="12" t="n"/>
      <c r="M570" s="12" t="n"/>
      <c r="N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1" t="n"/>
      <c r="L571" s="12" t="n"/>
      <c r="M571" s="12" t="n"/>
      <c r="N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1" t="n"/>
      <c r="L572" s="12" t="n"/>
      <c r="M572" s="12" t="n"/>
      <c r="N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1" t="n"/>
      <c r="L573" s="12" t="n"/>
      <c r="M573" s="12" t="n"/>
      <c r="N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1" t="n"/>
      <c r="L574" s="12" t="n"/>
      <c r="M574" s="12" t="n"/>
      <c r="N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1" t="n"/>
      <c r="L575" s="12" t="n"/>
      <c r="M575" s="12" t="n"/>
      <c r="N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1" t="n"/>
      <c r="L576" s="12" t="n"/>
      <c r="M576" s="12" t="n"/>
      <c r="N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1" t="n"/>
      <c r="L577" s="12" t="n"/>
      <c r="M577" s="12" t="n"/>
      <c r="N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1" t="n"/>
      <c r="L578" s="12" t="n"/>
      <c r="M578" s="12" t="n"/>
      <c r="N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1" t="n"/>
      <c r="L579" s="12" t="n"/>
      <c r="M579" s="12" t="n"/>
      <c r="N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1" t="n"/>
      <c r="L580" s="12" t="n"/>
      <c r="M580" s="12" t="n"/>
      <c r="N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1" t="n"/>
      <c r="L581" s="12" t="n"/>
      <c r="M581" s="12" t="n"/>
      <c r="N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1" t="n"/>
      <c r="L582" s="12" t="n"/>
      <c r="M582" s="12" t="n"/>
      <c r="N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1" t="n"/>
      <c r="L583" s="12" t="n"/>
      <c r="M583" s="12" t="n"/>
      <c r="N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1" t="n"/>
      <c r="L584" s="12" t="n"/>
      <c r="M584" s="12" t="n"/>
      <c r="N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1" t="n"/>
      <c r="L585" s="12" t="n"/>
      <c r="M585" s="12" t="n"/>
      <c r="N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1" t="n"/>
      <c r="L586" s="12" t="n"/>
      <c r="M586" s="12" t="n"/>
      <c r="N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1" t="n"/>
      <c r="L587" s="12" t="n"/>
      <c r="M587" s="12" t="n"/>
      <c r="N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1" t="n"/>
      <c r="L588" s="12" t="n"/>
      <c r="M588" s="12" t="n"/>
      <c r="N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1" t="n"/>
      <c r="L589" s="12" t="n"/>
      <c r="M589" s="12" t="n"/>
      <c r="N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1" t="n"/>
      <c r="L590" s="12" t="n"/>
      <c r="M590" s="12" t="n"/>
      <c r="N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1" t="n"/>
      <c r="L591" s="12" t="n"/>
      <c r="M591" s="12" t="n"/>
      <c r="N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1" t="n"/>
      <c r="L592" s="12" t="n"/>
      <c r="M592" s="12" t="n"/>
      <c r="N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1" t="n"/>
      <c r="L593" s="12" t="n"/>
      <c r="M593" s="12" t="n"/>
      <c r="N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1" t="n"/>
      <c r="L594" s="12" t="n"/>
      <c r="M594" s="12" t="n"/>
      <c r="N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1" t="n"/>
      <c r="L595" s="12" t="n"/>
      <c r="M595" s="12" t="n"/>
      <c r="N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1" t="n"/>
      <c r="L596" s="12" t="n"/>
      <c r="M596" s="12" t="n"/>
      <c r="N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1" t="n"/>
      <c r="L597" s="12" t="n"/>
      <c r="M597" s="12" t="n"/>
      <c r="N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1" t="n"/>
      <c r="L598" s="12" t="n"/>
      <c r="M598" s="12" t="n"/>
      <c r="N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1" t="n"/>
      <c r="L599" s="12" t="n"/>
      <c r="M599" s="12" t="n"/>
      <c r="N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1" t="n"/>
      <c r="L600" s="12" t="n"/>
      <c r="M600" s="12" t="n"/>
      <c r="N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1" t="n"/>
      <c r="L601" s="12" t="n"/>
      <c r="M601" s="12" t="n"/>
      <c r="N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1" t="n"/>
      <c r="L602" s="12" t="n"/>
      <c r="M602" s="12" t="n"/>
      <c r="N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1" t="n"/>
      <c r="L603" s="12" t="n"/>
      <c r="M603" s="12" t="n"/>
      <c r="N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1" t="n"/>
      <c r="L604" s="12" t="n"/>
      <c r="M604" s="12" t="n"/>
      <c r="N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1" t="n"/>
      <c r="L605" s="12" t="n"/>
      <c r="M605" s="12" t="n"/>
      <c r="N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1" t="n"/>
      <c r="L606" s="12" t="n"/>
      <c r="M606" s="12" t="n"/>
      <c r="N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1" t="n"/>
      <c r="L607" s="12" t="n"/>
      <c r="M607" s="12" t="n"/>
      <c r="N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1" t="n"/>
      <c r="L608" s="12" t="n"/>
      <c r="M608" s="12" t="n"/>
      <c r="N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1" t="n"/>
      <c r="L609" s="12" t="n"/>
      <c r="M609" s="12" t="n"/>
      <c r="N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1" t="n"/>
      <c r="L610" s="12" t="n"/>
      <c r="M610" s="12" t="n"/>
      <c r="N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1" t="n"/>
      <c r="L611" s="12" t="n"/>
      <c r="M611" s="12" t="n"/>
      <c r="N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1" t="n"/>
      <c r="L612" s="12" t="n"/>
      <c r="M612" s="12" t="n"/>
      <c r="N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1" t="n"/>
      <c r="L613" s="12" t="n"/>
      <c r="M613" s="12" t="n"/>
      <c r="N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1" t="n"/>
      <c r="L614" s="12" t="n"/>
      <c r="M614" s="12" t="n"/>
      <c r="N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1" t="n"/>
      <c r="L615" s="12" t="n"/>
      <c r="M615" s="12" t="n"/>
      <c r="N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1" t="n"/>
      <c r="L616" s="12" t="n"/>
      <c r="M616" s="12" t="n"/>
      <c r="N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1" t="n"/>
      <c r="L617" s="12" t="n"/>
      <c r="M617" s="12" t="n"/>
      <c r="N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1" t="n"/>
      <c r="L618" s="12" t="n"/>
      <c r="M618" s="12" t="n"/>
      <c r="N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1" t="n"/>
      <c r="L619" s="12" t="n"/>
      <c r="M619" s="12" t="n"/>
      <c r="N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1" t="n"/>
      <c r="L620" s="12" t="n"/>
      <c r="M620" s="12" t="n"/>
      <c r="N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1" t="n"/>
      <c r="L621" s="12" t="n"/>
      <c r="M621" s="12" t="n"/>
      <c r="N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1" t="n"/>
      <c r="L622" s="12" t="n"/>
      <c r="M622" s="12" t="n"/>
      <c r="N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1" t="n"/>
      <c r="L623" s="12" t="n"/>
      <c r="M623" s="12" t="n"/>
      <c r="N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1" t="n"/>
      <c r="L624" s="12" t="n"/>
      <c r="M624" s="12" t="n"/>
      <c r="N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1" t="n"/>
      <c r="L625" s="12" t="n"/>
      <c r="M625" s="12" t="n"/>
      <c r="N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1" t="n"/>
      <c r="L626" s="12" t="n"/>
      <c r="M626" s="12" t="n"/>
      <c r="N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1" t="n"/>
      <c r="L627" s="12" t="n"/>
      <c r="M627" s="12" t="n"/>
      <c r="N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1" t="n"/>
      <c r="L628" s="12" t="n"/>
      <c r="M628" s="12" t="n"/>
      <c r="N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1" t="n"/>
      <c r="L629" s="12" t="n"/>
      <c r="M629" s="12" t="n"/>
      <c r="N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1" t="n"/>
      <c r="L630" s="12" t="n"/>
      <c r="M630" s="12" t="n"/>
      <c r="N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1" t="n"/>
      <c r="L631" s="12" t="n"/>
      <c r="M631" s="12" t="n"/>
      <c r="N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1" t="n"/>
      <c r="L632" s="12" t="n"/>
      <c r="M632" s="12" t="n"/>
      <c r="N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1" t="n"/>
      <c r="L633" s="12" t="n"/>
      <c r="M633" s="12" t="n"/>
      <c r="N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1" t="n"/>
      <c r="L634" s="12" t="n"/>
      <c r="M634" s="12" t="n"/>
      <c r="N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1" t="n"/>
      <c r="L635" s="12" t="n"/>
      <c r="M635" s="12" t="n"/>
      <c r="N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1" t="n"/>
      <c r="L636" s="12" t="n"/>
      <c r="M636" s="12" t="n"/>
      <c r="N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1" t="n"/>
      <c r="L637" s="12" t="n"/>
      <c r="M637" s="12" t="n"/>
      <c r="N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1" t="n"/>
      <c r="L638" s="12" t="n"/>
      <c r="M638" s="12" t="n"/>
      <c r="N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1" t="n"/>
      <c r="L639" s="12" t="n"/>
      <c r="M639" s="12" t="n"/>
      <c r="N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1" t="n"/>
      <c r="L640" s="12" t="n"/>
      <c r="M640" s="12" t="n"/>
      <c r="N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1" t="n"/>
      <c r="L641" s="12" t="n"/>
      <c r="M641" s="12" t="n"/>
      <c r="N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1" t="n"/>
      <c r="L642" s="12" t="n"/>
      <c r="M642" s="12" t="n"/>
      <c r="N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1" t="n"/>
      <c r="L643" s="12" t="n"/>
      <c r="M643" s="12" t="n"/>
      <c r="N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1" t="n"/>
      <c r="L644" s="12" t="n"/>
      <c r="M644" s="12" t="n"/>
      <c r="N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1" t="n"/>
      <c r="L645" s="12" t="n"/>
      <c r="M645" s="12" t="n"/>
      <c r="N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1" t="n"/>
      <c r="L646" s="12" t="n"/>
      <c r="M646" s="12" t="n"/>
      <c r="N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1" t="n"/>
      <c r="L647" s="12" t="n"/>
      <c r="M647" s="12" t="n"/>
      <c r="N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1" t="n"/>
      <c r="L648" s="12" t="n"/>
      <c r="M648" s="12" t="n"/>
      <c r="N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1" t="n"/>
      <c r="L649" s="12" t="n"/>
      <c r="M649" s="12" t="n"/>
      <c r="N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1" t="n"/>
      <c r="L650" s="12" t="n"/>
      <c r="M650" s="12" t="n"/>
      <c r="N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1" t="n"/>
      <c r="L651" s="12" t="n"/>
      <c r="M651" s="12" t="n"/>
      <c r="N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1" t="n"/>
      <c r="L652" s="12" t="n"/>
      <c r="M652" s="12" t="n"/>
      <c r="N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1" t="n"/>
      <c r="L653" s="12" t="n"/>
      <c r="M653" s="12" t="n"/>
      <c r="N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1" t="n"/>
      <c r="L654" s="12" t="n"/>
      <c r="M654" s="12" t="n"/>
      <c r="N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1" t="n"/>
      <c r="L655" s="12" t="n"/>
      <c r="M655" s="12" t="n"/>
      <c r="N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1" t="n"/>
      <c r="L656" s="12" t="n"/>
      <c r="M656" s="12" t="n"/>
      <c r="N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1" t="n"/>
      <c r="L657" s="12" t="n"/>
      <c r="M657" s="12" t="n"/>
      <c r="N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1" t="n"/>
      <c r="L658" s="12" t="n"/>
      <c r="M658" s="12" t="n"/>
      <c r="N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1" t="n"/>
      <c r="L659" s="12" t="n"/>
      <c r="M659" s="12" t="n"/>
      <c r="N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1" t="n"/>
      <c r="L660" s="12" t="n"/>
      <c r="M660" s="12" t="n"/>
      <c r="N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1" t="n"/>
      <c r="L661" s="12" t="n"/>
      <c r="M661" s="12" t="n"/>
      <c r="N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1" t="n"/>
      <c r="L662" s="12" t="n"/>
      <c r="M662" s="12" t="n"/>
      <c r="N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1" t="n"/>
      <c r="L663" s="12" t="n"/>
      <c r="M663" s="12" t="n"/>
      <c r="N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1" t="n"/>
      <c r="L664" s="12" t="n"/>
      <c r="M664" s="12" t="n"/>
      <c r="N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1" t="n"/>
      <c r="L665" s="12" t="n"/>
      <c r="M665" s="12" t="n"/>
      <c r="N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1" t="n"/>
      <c r="L666" s="12" t="n"/>
      <c r="M666" s="12" t="n"/>
      <c r="N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1" t="n"/>
      <c r="L667" s="12" t="n"/>
      <c r="M667" s="12" t="n"/>
      <c r="N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1" t="n"/>
      <c r="L668" s="12" t="n"/>
      <c r="M668" s="12" t="n"/>
      <c r="N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1" t="n"/>
      <c r="L669" s="12" t="n"/>
      <c r="M669" s="12" t="n"/>
      <c r="N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1" t="n"/>
      <c r="L670" s="12" t="n"/>
      <c r="M670" s="12" t="n"/>
      <c r="N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1" t="n"/>
      <c r="L671" s="12" t="n"/>
      <c r="M671" s="12" t="n"/>
      <c r="N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1" t="n"/>
      <c r="L672" s="12" t="n"/>
      <c r="M672" s="12" t="n"/>
      <c r="N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1" t="n"/>
      <c r="L673" s="12" t="n"/>
      <c r="M673" s="12" t="n"/>
      <c r="N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1" t="n"/>
      <c r="L674" s="12" t="n"/>
      <c r="M674" s="12" t="n"/>
      <c r="N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1" t="n"/>
      <c r="L675" s="12" t="n"/>
      <c r="M675" s="12" t="n"/>
      <c r="N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1" t="n"/>
      <c r="L676" s="12" t="n"/>
      <c r="M676" s="12" t="n"/>
      <c r="N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1" t="n"/>
      <c r="L677" s="12" t="n"/>
      <c r="M677" s="12" t="n"/>
      <c r="N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1" t="n"/>
      <c r="L678" s="12" t="n"/>
      <c r="M678" s="12" t="n"/>
      <c r="N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1" t="n"/>
      <c r="L679" s="12" t="n"/>
      <c r="M679" s="12" t="n"/>
      <c r="N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1" t="n"/>
      <c r="L680" s="12" t="n"/>
      <c r="M680" s="12" t="n"/>
      <c r="N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1" t="n"/>
      <c r="L681" s="12" t="n"/>
      <c r="M681" s="12" t="n"/>
      <c r="N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1" t="n"/>
      <c r="L682" s="12" t="n"/>
      <c r="M682" s="12" t="n"/>
      <c r="N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1" t="n"/>
      <c r="L683" s="12" t="n"/>
      <c r="M683" s="12" t="n"/>
      <c r="N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1" t="n"/>
      <c r="L684" s="12" t="n"/>
      <c r="M684" s="12" t="n"/>
      <c r="N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1" t="n"/>
      <c r="L685" s="12" t="n"/>
      <c r="M685" s="12" t="n"/>
      <c r="N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1" t="n"/>
      <c r="L686" s="12" t="n"/>
      <c r="M686" s="12" t="n"/>
      <c r="N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1" t="n"/>
      <c r="L687" s="12" t="n"/>
      <c r="M687" s="12" t="n"/>
      <c r="N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1" t="n"/>
      <c r="L688" s="12" t="n"/>
      <c r="M688" s="12" t="n"/>
      <c r="N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1" t="n"/>
      <c r="L689" s="12" t="n"/>
      <c r="M689" s="12" t="n"/>
      <c r="N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1" t="n"/>
      <c r="L690" s="12" t="n"/>
      <c r="M690" s="12" t="n"/>
      <c r="N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1" t="n"/>
      <c r="L691" s="12" t="n"/>
      <c r="M691" s="12" t="n"/>
      <c r="N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1" t="n"/>
      <c r="L692" s="12" t="n"/>
      <c r="M692" s="12" t="n"/>
      <c r="N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1" t="n"/>
      <c r="L693" s="12" t="n"/>
      <c r="M693" s="12" t="n"/>
      <c r="N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1" t="n"/>
      <c r="L694" s="12" t="n"/>
      <c r="M694" s="12" t="n"/>
      <c r="N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1" t="n"/>
      <c r="L695" s="12" t="n"/>
      <c r="M695" s="12" t="n"/>
      <c r="N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1" t="n"/>
      <c r="L696" s="12" t="n"/>
      <c r="M696" s="12" t="n"/>
      <c r="N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1" t="n"/>
      <c r="L697" s="12" t="n"/>
      <c r="M697" s="12" t="n"/>
      <c r="N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1" t="n"/>
      <c r="L698" s="12" t="n"/>
      <c r="M698" s="12" t="n"/>
      <c r="N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1" t="n"/>
      <c r="L699" s="12" t="n"/>
      <c r="M699" s="12" t="n"/>
      <c r="N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1" t="n"/>
      <c r="L700" s="12" t="n"/>
      <c r="M700" s="12" t="n"/>
      <c r="N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1" t="n"/>
      <c r="L701" s="12" t="n"/>
      <c r="M701" s="12" t="n"/>
      <c r="N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1" t="n"/>
      <c r="L702" s="12" t="n"/>
      <c r="M702" s="12" t="n"/>
      <c r="N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1" t="n"/>
      <c r="L703" s="12" t="n"/>
      <c r="M703" s="12" t="n"/>
      <c r="N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1" t="n"/>
      <c r="L704" s="12" t="n"/>
      <c r="M704" s="12" t="n"/>
      <c r="N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1" t="n"/>
      <c r="L705" s="12" t="n"/>
      <c r="M705" s="12" t="n"/>
      <c r="N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1" t="n"/>
      <c r="L706" s="12" t="n"/>
      <c r="M706" s="12" t="n"/>
      <c r="N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1" t="n"/>
      <c r="L707" s="12" t="n"/>
      <c r="M707" s="12" t="n"/>
      <c r="N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1" t="n"/>
      <c r="L708" s="12" t="n"/>
      <c r="M708" s="12" t="n"/>
      <c r="N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1" t="n"/>
      <c r="L709" s="12" t="n"/>
      <c r="M709" s="12" t="n"/>
      <c r="N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1" t="n"/>
      <c r="L710" s="12" t="n"/>
      <c r="M710" s="12" t="n"/>
      <c r="N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1" t="n"/>
      <c r="L711" s="12" t="n"/>
      <c r="M711" s="12" t="n"/>
      <c r="N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1" t="n"/>
      <c r="L712" s="12" t="n"/>
      <c r="M712" s="12" t="n"/>
      <c r="N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1" t="n"/>
      <c r="L713" s="12" t="n"/>
      <c r="M713" s="12" t="n"/>
      <c r="N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1" t="n"/>
      <c r="L714" s="12" t="n"/>
      <c r="M714" s="12" t="n"/>
      <c r="N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1" t="n"/>
      <c r="L715" s="12" t="n"/>
      <c r="M715" s="12" t="n"/>
      <c r="N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1" t="n"/>
      <c r="L716" s="12" t="n"/>
      <c r="M716" s="12" t="n"/>
      <c r="N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1" t="n"/>
      <c r="L717" s="12" t="n"/>
      <c r="M717" s="12" t="n"/>
      <c r="N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1" t="n"/>
      <c r="L718" s="12" t="n"/>
      <c r="M718" s="12" t="n"/>
      <c r="N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1" t="n"/>
      <c r="L719" s="12" t="n"/>
      <c r="M719" s="12" t="n"/>
      <c r="N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1" t="n"/>
      <c r="L720" s="12" t="n"/>
      <c r="M720" s="12" t="n"/>
      <c r="N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1" t="n"/>
      <c r="L721" s="12" t="n"/>
      <c r="M721" s="12" t="n"/>
      <c r="N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1" t="n"/>
      <c r="L722" s="12" t="n"/>
      <c r="M722" s="12" t="n"/>
      <c r="N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1" t="n"/>
      <c r="L723" s="12" t="n"/>
      <c r="M723" s="12" t="n"/>
      <c r="N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1" t="n"/>
      <c r="L724" s="12" t="n"/>
      <c r="M724" s="12" t="n"/>
      <c r="N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1" t="n"/>
      <c r="L725" s="12" t="n"/>
      <c r="M725" s="12" t="n"/>
      <c r="N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1" t="n"/>
      <c r="L726" s="12" t="n"/>
      <c r="M726" s="12" t="n"/>
      <c r="N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1" t="n"/>
      <c r="L727" s="12" t="n"/>
      <c r="M727" s="12" t="n"/>
      <c r="N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1" t="n"/>
      <c r="L728" s="12" t="n"/>
      <c r="M728" s="12" t="n"/>
      <c r="N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1" t="n"/>
      <c r="L729" s="12" t="n"/>
      <c r="M729" s="12" t="n"/>
      <c r="N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1" t="n"/>
      <c r="L730" s="12" t="n"/>
      <c r="M730" s="12" t="n"/>
      <c r="N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1" t="n"/>
      <c r="L731" s="12" t="n"/>
      <c r="M731" s="12" t="n"/>
      <c r="N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1" t="n"/>
      <c r="L732" s="12" t="n"/>
      <c r="M732" s="12" t="n"/>
      <c r="N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1" t="n"/>
      <c r="L733" s="12" t="n"/>
      <c r="M733" s="12" t="n"/>
      <c r="N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1" t="n"/>
      <c r="L734" s="12" t="n"/>
      <c r="M734" s="12" t="n"/>
      <c r="N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1" t="n"/>
      <c r="L735" s="12" t="n"/>
      <c r="M735" s="12" t="n"/>
      <c r="N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1" t="n"/>
      <c r="L736" s="12" t="n"/>
      <c r="M736" s="12" t="n"/>
      <c r="N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1" t="n"/>
      <c r="L737" s="12" t="n"/>
      <c r="M737" s="12" t="n"/>
      <c r="N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1" t="n"/>
      <c r="L738" s="12" t="n"/>
      <c r="M738" s="12" t="n"/>
      <c r="N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1" t="n"/>
      <c r="L739" s="12" t="n"/>
      <c r="M739" s="12" t="n"/>
      <c r="N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1" t="n"/>
      <c r="L740" s="12" t="n"/>
      <c r="M740" s="12" t="n"/>
      <c r="N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1" t="n"/>
      <c r="L741" s="12" t="n"/>
      <c r="M741" s="12" t="n"/>
      <c r="N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1" t="n"/>
      <c r="L742" s="12" t="n"/>
      <c r="M742" s="12" t="n"/>
      <c r="N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1" t="n"/>
      <c r="L743" s="12" t="n"/>
      <c r="M743" s="12" t="n"/>
      <c r="N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1" t="n"/>
      <c r="L744" s="12" t="n"/>
      <c r="M744" s="12" t="n"/>
      <c r="N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1" t="n"/>
      <c r="L745" s="12" t="n"/>
      <c r="M745" s="12" t="n"/>
      <c r="N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1" t="n"/>
      <c r="L746" s="12" t="n"/>
      <c r="M746" s="12" t="n"/>
      <c r="N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1" t="n"/>
      <c r="L747" s="12" t="n"/>
      <c r="M747" s="12" t="n"/>
      <c r="N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1" t="n"/>
      <c r="L748" s="12" t="n"/>
      <c r="M748" s="12" t="n"/>
      <c r="N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1" t="n"/>
      <c r="L749" s="12" t="n"/>
      <c r="M749" s="12" t="n"/>
      <c r="N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1" t="n"/>
      <c r="L750" s="12" t="n"/>
      <c r="M750" s="12" t="n"/>
      <c r="N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1" t="n"/>
      <c r="L751" s="12" t="n"/>
      <c r="M751" s="12" t="n"/>
      <c r="N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1" t="n"/>
      <c r="L752" s="12" t="n"/>
      <c r="M752" s="12" t="n"/>
      <c r="N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1" t="n"/>
      <c r="L753" s="12" t="n"/>
      <c r="M753" s="12" t="n"/>
      <c r="N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1" t="n"/>
      <c r="L754" s="12" t="n"/>
      <c r="M754" s="12" t="n"/>
      <c r="N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1" t="n"/>
      <c r="L755" s="12" t="n"/>
      <c r="M755" s="12" t="n"/>
      <c r="N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1" t="n"/>
      <c r="L756" s="12" t="n"/>
      <c r="M756" s="12" t="n"/>
      <c r="N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1" t="n"/>
      <c r="L757" s="12" t="n"/>
      <c r="M757" s="12" t="n"/>
      <c r="N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1" t="n"/>
      <c r="L758" s="12" t="n"/>
      <c r="M758" s="12" t="n"/>
      <c r="N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1" t="n"/>
      <c r="L759" s="12" t="n"/>
      <c r="M759" s="12" t="n"/>
      <c r="N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1" t="n"/>
      <c r="L760" s="12" t="n"/>
      <c r="M760" s="12" t="n"/>
      <c r="N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1" t="n"/>
      <c r="L761" s="12" t="n"/>
      <c r="M761" s="12" t="n"/>
      <c r="N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1" t="n"/>
      <c r="L762" s="12" t="n"/>
      <c r="M762" s="12" t="n"/>
      <c r="N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1" t="n"/>
      <c r="L763" s="12" t="n"/>
      <c r="M763" s="12" t="n"/>
      <c r="N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1" t="n"/>
      <c r="L764" s="12" t="n"/>
      <c r="M764" s="12" t="n"/>
      <c r="N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1" t="n"/>
      <c r="L765" s="12" t="n"/>
      <c r="M765" s="12" t="n"/>
      <c r="N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1" t="n"/>
      <c r="L766" s="12" t="n"/>
      <c r="M766" s="12" t="n"/>
      <c r="N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1" t="n"/>
      <c r="L767" s="12" t="n"/>
      <c r="M767" s="12" t="n"/>
      <c r="N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1" t="n"/>
      <c r="L768" s="12" t="n"/>
      <c r="M768" s="12" t="n"/>
      <c r="N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1" t="n"/>
      <c r="L769" s="12" t="n"/>
      <c r="M769" s="12" t="n"/>
      <c r="N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1" t="n"/>
      <c r="L770" s="12" t="n"/>
      <c r="M770" s="12" t="n"/>
      <c r="N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1" t="n"/>
      <c r="L771" s="12" t="n"/>
      <c r="M771" s="12" t="n"/>
      <c r="N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1" t="n"/>
      <c r="L772" s="12" t="n"/>
      <c r="M772" s="12" t="n"/>
      <c r="N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1" t="n"/>
      <c r="L773" s="12" t="n"/>
      <c r="M773" s="12" t="n"/>
      <c r="N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1" t="n"/>
      <c r="L774" s="12" t="n"/>
      <c r="M774" s="12" t="n"/>
      <c r="N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1" t="n"/>
      <c r="L775" s="12" t="n"/>
      <c r="M775" s="12" t="n"/>
      <c r="N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1" t="n"/>
      <c r="L776" s="12" t="n"/>
      <c r="M776" s="12" t="n"/>
      <c r="N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1" t="n"/>
      <c r="L777" s="12" t="n"/>
      <c r="M777" s="12" t="n"/>
      <c r="N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1" t="n"/>
      <c r="L778" s="12" t="n"/>
      <c r="M778" s="12" t="n"/>
      <c r="N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1" t="n"/>
      <c r="L779" s="12" t="n"/>
      <c r="M779" s="12" t="n"/>
      <c r="N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1" t="n"/>
      <c r="L780" s="12" t="n"/>
      <c r="M780" s="12" t="n"/>
      <c r="N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1" t="n"/>
      <c r="L781" s="12" t="n"/>
      <c r="M781" s="12" t="n"/>
      <c r="N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1" t="n"/>
      <c r="L782" s="12" t="n"/>
      <c r="M782" s="12" t="n"/>
      <c r="N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1" t="n"/>
      <c r="L783" s="12" t="n"/>
      <c r="M783" s="12" t="n"/>
      <c r="N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1" t="n"/>
      <c r="L784" s="12" t="n"/>
      <c r="M784" s="12" t="n"/>
      <c r="N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1" t="n"/>
      <c r="L785" s="12" t="n"/>
      <c r="M785" s="12" t="n"/>
      <c r="N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1" t="n"/>
      <c r="L786" s="12" t="n"/>
      <c r="M786" s="12" t="n"/>
      <c r="N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1" t="n"/>
      <c r="L787" s="12" t="n"/>
      <c r="M787" s="12" t="n"/>
      <c r="N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1" t="n"/>
      <c r="L788" s="12" t="n"/>
      <c r="M788" s="12" t="n"/>
      <c r="N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1" t="n"/>
      <c r="L789" s="12" t="n"/>
      <c r="M789" s="12" t="n"/>
      <c r="N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1" t="n"/>
      <c r="L790" s="12" t="n"/>
      <c r="M790" s="12" t="n"/>
      <c r="N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1" t="n"/>
      <c r="L791" s="12" t="n"/>
      <c r="M791" s="12" t="n"/>
      <c r="N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1" t="n"/>
      <c r="L792" s="12" t="n"/>
      <c r="M792" s="12" t="n"/>
      <c r="N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1" t="n"/>
      <c r="L793" s="12" t="n"/>
      <c r="M793" s="12" t="n"/>
      <c r="N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1" t="n"/>
      <c r="L794" s="12" t="n"/>
      <c r="M794" s="12" t="n"/>
      <c r="N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1" t="n"/>
      <c r="L795" s="12" t="n"/>
      <c r="M795" s="12" t="n"/>
      <c r="N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1" t="n"/>
      <c r="L796" s="12" t="n"/>
      <c r="M796" s="12" t="n"/>
      <c r="N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1" t="n"/>
      <c r="L797" s="12" t="n"/>
      <c r="M797" s="12" t="n"/>
      <c r="N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1" t="n"/>
      <c r="L798" s="12" t="n"/>
      <c r="M798" s="12" t="n"/>
      <c r="N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1" t="n"/>
      <c r="L799" s="12" t="n"/>
      <c r="M799" s="12" t="n"/>
      <c r="N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1" t="n"/>
      <c r="L800" s="12" t="n"/>
      <c r="M800" s="12" t="n"/>
      <c r="N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1" t="n"/>
      <c r="L801" s="12" t="n"/>
      <c r="M801" s="12" t="n"/>
      <c r="N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1" t="n"/>
      <c r="L802" s="12" t="n"/>
      <c r="M802" s="12" t="n"/>
      <c r="N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1" t="n"/>
      <c r="L803" s="12" t="n"/>
      <c r="M803" s="12" t="n"/>
      <c r="N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1" t="n"/>
      <c r="L804" s="12" t="n"/>
      <c r="M804" s="12" t="n"/>
      <c r="N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1" t="n"/>
      <c r="L805" s="12" t="n"/>
      <c r="M805" s="12" t="n"/>
      <c r="N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1" t="n"/>
      <c r="L806" s="12" t="n"/>
      <c r="M806" s="12" t="n"/>
      <c r="N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1" t="n"/>
      <c r="L807" s="12" t="n"/>
      <c r="M807" s="12" t="n"/>
      <c r="N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1" t="n"/>
      <c r="L808" s="12" t="n"/>
      <c r="M808" s="12" t="n"/>
      <c r="N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1" t="n"/>
      <c r="L809" s="12" t="n"/>
      <c r="M809" s="12" t="n"/>
      <c r="N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1" t="n"/>
      <c r="L810" s="12" t="n"/>
      <c r="M810" s="12" t="n"/>
      <c r="N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1" t="n"/>
      <c r="L811" s="12" t="n"/>
      <c r="M811" s="12" t="n"/>
      <c r="N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1" t="n"/>
      <c r="L812" s="12" t="n"/>
      <c r="M812" s="12" t="n"/>
      <c r="N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1" t="n"/>
      <c r="L813" s="12" t="n"/>
      <c r="M813" s="12" t="n"/>
      <c r="N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1" t="n"/>
      <c r="L814" s="12" t="n"/>
      <c r="M814" s="12" t="n"/>
      <c r="N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1" t="n"/>
      <c r="L815" s="12" t="n"/>
      <c r="M815" s="12" t="n"/>
      <c r="N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1" t="n"/>
      <c r="L816" s="12" t="n"/>
      <c r="M816" s="12" t="n"/>
      <c r="N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1" t="n"/>
      <c r="L817" s="12" t="n"/>
      <c r="M817" s="12" t="n"/>
      <c r="N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1" t="n"/>
      <c r="L818" s="12" t="n"/>
      <c r="M818" s="12" t="n"/>
      <c r="N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1" t="n"/>
      <c r="L819" s="12" t="n"/>
      <c r="M819" s="12" t="n"/>
      <c r="N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1" t="n"/>
      <c r="L820" s="12" t="n"/>
      <c r="M820" s="12" t="n"/>
      <c r="N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1" t="n"/>
      <c r="L821" s="12" t="n"/>
      <c r="M821" s="12" t="n"/>
      <c r="N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1" t="n"/>
      <c r="L822" s="12" t="n"/>
      <c r="M822" s="12" t="n"/>
      <c r="N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1" t="n"/>
      <c r="L823" s="12" t="n"/>
      <c r="M823" s="12" t="n"/>
      <c r="N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1" t="n"/>
      <c r="L824" s="12" t="n"/>
      <c r="M824" s="12" t="n"/>
      <c r="N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1" t="n"/>
      <c r="L825" s="12" t="n"/>
      <c r="M825" s="12" t="n"/>
      <c r="N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1" t="n"/>
      <c r="L826" s="12" t="n"/>
      <c r="M826" s="12" t="n"/>
      <c r="N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1" t="n"/>
      <c r="L827" s="12" t="n"/>
      <c r="M827" s="12" t="n"/>
      <c r="N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1" t="n"/>
      <c r="L828" s="12" t="n"/>
      <c r="M828" s="12" t="n"/>
      <c r="N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1" t="n"/>
      <c r="L829" s="12" t="n"/>
      <c r="M829" s="12" t="n"/>
      <c r="N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1" t="n"/>
      <c r="L830" s="12" t="n"/>
      <c r="M830" s="12" t="n"/>
      <c r="N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1" t="n"/>
      <c r="L831" s="12" t="n"/>
      <c r="M831" s="12" t="n"/>
      <c r="N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1" t="n"/>
      <c r="L832" s="12" t="n"/>
      <c r="M832" s="12" t="n"/>
      <c r="N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1" t="n"/>
      <c r="L833" s="12" t="n"/>
      <c r="M833" s="12" t="n"/>
      <c r="N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1" t="n"/>
      <c r="L834" s="12" t="n"/>
      <c r="M834" s="12" t="n"/>
      <c r="N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1" t="n"/>
      <c r="L835" s="12" t="n"/>
      <c r="M835" s="12" t="n"/>
      <c r="N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1" t="n"/>
      <c r="L836" s="12" t="n"/>
      <c r="M836" s="12" t="n"/>
      <c r="N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1" t="n"/>
      <c r="L837" s="12" t="n"/>
      <c r="M837" s="12" t="n"/>
      <c r="N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1" t="n"/>
      <c r="L838" s="12" t="n"/>
      <c r="M838" s="12" t="n"/>
      <c r="N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1" t="n"/>
      <c r="L839" s="12" t="n"/>
      <c r="M839" s="12" t="n"/>
      <c r="N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1" t="n"/>
      <c r="L840" s="12" t="n"/>
      <c r="M840" s="12" t="n"/>
      <c r="N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1" t="n"/>
      <c r="L841" s="12" t="n"/>
      <c r="M841" s="12" t="n"/>
      <c r="N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1" t="n"/>
      <c r="L842" s="12" t="n"/>
      <c r="M842" s="12" t="n"/>
      <c r="N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1" t="n"/>
      <c r="L843" s="12" t="n"/>
      <c r="M843" s="12" t="n"/>
      <c r="N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1" t="n"/>
      <c r="L844" s="12" t="n"/>
      <c r="M844" s="12" t="n"/>
      <c r="N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1" t="n"/>
      <c r="L845" s="12" t="n"/>
      <c r="M845" s="12" t="n"/>
      <c r="N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1" t="n"/>
      <c r="L846" s="12" t="n"/>
      <c r="M846" s="12" t="n"/>
      <c r="N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1" t="n"/>
      <c r="L847" s="12" t="n"/>
      <c r="M847" s="12" t="n"/>
      <c r="N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1" t="n"/>
      <c r="L848" s="12" t="n"/>
      <c r="M848" s="12" t="n"/>
      <c r="N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1" t="n"/>
      <c r="L849" s="12" t="n"/>
      <c r="M849" s="12" t="n"/>
      <c r="N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1" t="n"/>
      <c r="L850" s="12" t="n"/>
      <c r="M850" s="12" t="n"/>
      <c r="N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1" t="n"/>
      <c r="L851" s="12" t="n"/>
      <c r="M851" s="12" t="n"/>
      <c r="N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1" t="n"/>
      <c r="L852" s="12" t="n"/>
      <c r="M852" s="12" t="n"/>
      <c r="N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1" t="n"/>
      <c r="L853" s="12" t="n"/>
      <c r="M853" s="12" t="n"/>
      <c r="N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1" t="n"/>
      <c r="L854" s="12" t="n"/>
      <c r="M854" s="12" t="n"/>
      <c r="N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1" t="n"/>
      <c r="L855" s="12" t="n"/>
      <c r="M855" s="12" t="n"/>
      <c r="N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1" t="n"/>
      <c r="L856" s="12" t="n"/>
      <c r="M856" s="12" t="n"/>
      <c r="N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1" t="n"/>
      <c r="L857" s="12" t="n"/>
      <c r="M857" s="12" t="n"/>
      <c r="N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1" t="n"/>
      <c r="L858" s="12" t="n"/>
      <c r="M858" s="12" t="n"/>
      <c r="N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1" t="n"/>
      <c r="L859" s="12" t="n"/>
      <c r="M859" s="12" t="n"/>
      <c r="N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1" t="n"/>
      <c r="L860" s="12" t="n"/>
      <c r="M860" s="12" t="n"/>
      <c r="N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1" t="n"/>
      <c r="L861" s="12" t="n"/>
      <c r="M861" s="12" t="n"/>
      <c r="N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1" t="n"/>
      <c r="L862" s="12" t="n"/>
      <c r="M862" s="12" t="n"/>
      <c r="N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1" t="n"/>
      <c r="L863" s="12" t="n"/>
      <c r="M863" s="12" t="n"/>
      <c r="N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1" t="n"/>
      <c r="L864" s="12" t="n"/>
      <c r="M864" s="12" t="n"/>
      <c r="N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1" t="n"/>
      <c r="L865" s="12" t="n"/>
      <c r="M865" s="12" t="n"/>
      <c r="N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1" t="n"/>
      <c r="L866" s="12" t="n"/>
      <c r="M866" s="12" t="n"/>
      <c r="N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1" t="n"/>
      <c r="L867" s="12" t="n"/>
      <c r="M867" s="12" t="n"/>
      <c r="N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1" t="n"/>
      <c r="L868" s="12" t="n"/>
      <c r="M868" s="12" t="n"/>
      <c r="N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1" t="n"/>
      <c r="L869" s="12" t="n"/>
      <c r="M869" s="12" t="n"/>
      <c r="N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1" t="n"/>
      <c r="L870" s="12" t="n"/>
      <c r="M870" s="12" t="n"/>
      <c r="N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1" t="n"/>
      <c r="L871" s="12" t="n"/>
      <c r="M871" s="12" t="n"/>
      <c r="N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1" t="n"/>
      <c r="L872" s="12" t="n"/>
      <c r="M872" s="12" t="n"/>
      <c r="N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1" t="n"/>
      <c r="L873" s="12" t="n"/>
      <c r="M873" s="12" t="n"/>
      <c r="N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1" t="n"/>
      <c r="L874" s="12" t="n"/>
      <c r="M874" s="12" t="n"/>
      <c r="N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1" t="n"/>
      <c r="L875" s="12" t="n"/>
      <c r="M875" s="12" t="n"/>
      <c r="N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1" t="n"/>
      <c r="L876" s="12" t="n"/>
      <c r="M876" s="12" t="n"/>
      <c r="N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1" t="n"/>
      <c r="L877" s="12" t="n"/>
      <c r="M877" s="12" t="n"/>
      <c r="N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1" t="n"/>
      <c r="L878" s="12" t="n"/>
      <c r="M878" s="12" t="n"/>
      <c r="N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1" t="n"/>
      <c r="L879" s="12" t="n"/>
      <c r="M879" s="12" t="n"/>
      <c r="N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1" t="n"/>
      <c r="L880" s="12" t="n"/>
      <c r="M880" s="12" t="n"/>
      <c r="N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1" t="n"/>
      <c r="L881" s="12" t="n"/>
      <c r="M881" s="12" t="n"/>
      <c r="N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1" t="n"/>
      <c r="L882" s="12" t="n"/>
      <c r="M882" s="12" t="n"/>
      <c r="N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1" t="n"/>
      <c r="L883" s="12" t="n"/>
      <c r="M883" s="12" t="n"/>
      <c r="N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1" t="n"/>
      <c r="L884" s="12" t="n"/>
      <c r="M884" s="12" t="n"/>
      <c r="N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1" t="n"/>
      <c r="L885" s="12" t="n"/>
      <c r="M885" s="12" t="n"/>
      <c r="N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1" t="n"/>
      <c r="L886" s="12" t="n"/>
      <c r="M886" s="12" t="n"/>
      <c r="N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1" t="n"/>
      <c r="L887" s="12" t="n"/>
      <c r="M887" s="12" t="n"/>
      <c r="N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1" t="n"/>
      <c r="L888" s="12" t="n"/>
      <c r="M888" s="12" t="n"/>
      <c r="N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1" t="n"/>
      <c r="L889" s="12" t="n"/>
      <c r="M889" s="12" t="n"/>
      <c r="N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1" t="n"/>
      <c r="L890" s="12" t="n"/>
      <c r="M890" s="12" t="n"/>
      <c r="N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1" t="n"/>
      <c r="L891" s="12" t="n"/>
      <c r="M891" s="12" t="n"/>
      <c r="N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1" t="n"/>
      <c r="L892" s="12" t="n"/>
      <c r="M892" s="12" t="n"/>
      <c r="N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1" t="n"/>
      <c r="L893" s="12" t="n"/>
      <c r="M893" s="12" t="n"/>
      <c r="N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1" t="n"/>
      <c r="L894" s="12" t="n"/>
      <c r="M894" s="12" t="n"/>
      <c r="N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1" t="n"/>
      <c r="L895" s="12" t="n"/>
      <c r="M895" s="12" t="n"/>
      <c r="N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1" t="n"/>
      <c r="L896" s="12" t="n"/>
      <c r="M896" s="12" t="n"/>
      <c r="N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1" t="n"/>
      <c r="L897" s="12" t="n"/>
      <c r="M897" s="12" t="n"/>
      <c r="N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1" t="n"/>
      <c r="L898" s="12" t="n"/>
      <c r="M898" s="12" t="n"/>
      <c r="N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1" t="n"/>
      <c r="L899" s="12" t="n"/>
      <c r="M899" s="12" t="n"/>
      <c r="N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1" t="n"/>
      <c r="L900" s="12" t="n"/>
      <c r="M900" s="12" t="n"/>
      <c r="N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1" t="n"/>
      <c r="L901" s="12" t="n"/>
      <c r="M901" s="12" t="n"/>
      <c r="N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1" t="n"/>
      <c r="L902" s="12" t="n"/>
      <c r="M902" s="12" t="n"/>
      <c r="N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1" t="n"/>
      <c r="L903" s="12" t="n"/>
      <c r="M903" s="12" t="n"/>
      <c r="N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1" t="n"/>
      <c r="L904" s="12" t="n"/>
      <c r="M904" s="12" t="n"/>
      <c r="N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1" t="n"/>
      <c r="L905" s="12" t="n"/>
      <c r="M905" s="12" t="n"/>
      <c r="N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1" t="n"/>
      <c r="L906" s="12" t="n"/>
      <c r="M906" s="12" t="n"/>
      <c r="N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1" t="n"/>
      <c r="L907" s="12" t="n"/>
      <c r="M907" s="12" t="n"/>
      <c r="N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1" t="n"/>
      <c r="L908" s="12" t="n"/>
      <c r="M908" s="12" t="n"/>
      <c r="N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1" t="n"/>
      <c r="L909" s="12" t="n"/>
      <c r="M909" s="12" t="n"/>
      <c r="N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1" t="n"/>
      <c r="L910" s="12" t="n"/>
      <c r="M910" s="12" t="n"/>
      <c r="N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1" t="n"/>
      <c r="L911" s="12" t="n"/>
      <c r="M911" s="12" t="n"/>
      <c r="N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1" t="n"/>
      <c r="L912" s="12" t="n"/>
      <c r="M912" s="12" t="n"/>
      <c r="N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1" t="n"/>
      <c r="L913" s="12" t="n"/>
      <c r="M913" s="12" t="n"/>
      <c r="N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1" t="n"/>
      <c r="L914" s="12" t="n"/>
      <c r="M914" s="12" t="n"/>
      <c r="N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1" t="n"/>
      <c r="L915" s="12" t="n"/>
      <c r="M915" s="12" t="n"/>
      <c r="N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1" t="n"/>
      <c r="L916" s="12" t="n"/>
      <c r="M916" s="12" t="n"/>
      <c r="N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1" t="n"/>
      <c r="L917" s="12" t="n"/>
      <c r="M917" s="12" t="n"/>
      <c r="N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1" t="n"/>
      <c r="L918" s="12" t="n"/>
      <c r="M918" s="12" t="n"/>
      <c r="N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1" t="n"/>
      <c r="L919" s="12" t="n"/>
      <c r="M919" s="12" t="n"/>
      <c r="N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1" t="n"/>
      <c r="L920" s="12" t="n"/>
      <c r="M920" s="12" t="n"/>
      <c r="N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1" t="n"/>
      <c r="L921" s="12" t="n"/>
      <c r="M921" s="12" t="n"/>
      <c r="N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1" t="n"/>
      <c r="L922" s="12" t="n"/>
      <c r="M922" s="12" t="n"/>
      <c r="N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1" t="n"/>
      <c r="L923" s="12" t="n"/>
      <c r="M923" s="12" t="n"/>
      <c r="N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1" t="n"/>
      <c r="L924" s="12" t="n"/>
      <c r="M924" s="12" t="n"/>
      <c r="N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1" t="n"/>
      <c r="L925" s="12" t="n"/>
      <c r="M925" s="12" t="n"/>
      <c r="N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1" t="n"/>
      <c r="L926" s="12" t="n"/>
      <c r="M926" s="12" t="n"/>
      <c r="N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1" t="n"/>
      <c r="L927" s="12" t="n"/>
      <c r="M927" s="12" t="n"/>
      <c r="N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1" t="n"/>
      <c r="L928" s="12" t="n"/>
      <c r="M928" s="12" t="n"/>
      <c r="N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1" t="n"/>
      <c r="L929" s="12" t="n"/>
      <c r="M929" s="12" t="n"/>
      <c r="N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1" t="n"/>
      <c r="L930" s="12" t="n"/>
      <c r="M930" s="12" t="n"/>
      <c r="N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1" t="n"/>
      <c r="L931" s="12" t="n"/>
      <c r="M931" s="12" t="n"/>
      <c r="N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1" t="n"/>
      <c r="L932" s="12" t="n"/>
      <c r="M932" s="12" t="n"/>
      <c r="N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1" t="n"/>
      <c r="L933" s="12" t="n"/>
      <c r="M933" s="12" t="n"/>
      <c r="N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1" t="n"/>
      <c r="L934" s="12" t="n"/>
      <c r="M934" s="12" t="n"/>
      <c r="N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1" t="n"/>
      <c r="L935" s="12" t="n"/>
      <c r="M935" s="12" t="n"/>
      <c r="N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1" t="n"/>
      <c r="L936" s="12" t="n"/>
      <c r="M936" s="12" t="n"/>
      <c r="N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1" t="n"/>
      <c r="L937" s="12" t="n"/>
      <c r="M937" s="12" t="n"/>
      <c r="N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1" t="n"/>
      <c r="L938" s="12" t="n"/>
      <c r="M938" s="12" t="n"/>
      <c r="N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1" t="n"/>
      <c r="L939" s="12" t="n"/>
      <c r="M939" s="12" t="n"/>
      <c r="N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1" t="n"/>
      <c r="L940" s="12" t="n"/>
      <c r="M940" s="12" t="n"/>
      <c r="N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1" t="n"/>
      <c r="L941" s="12" t="n"/>
      <c r="M941" s="12" t="n"/>
      <c r="N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1" t="n"/>
      <c r="L942" s="12" t="n"/>
      <c r="M942" s="12" t="n"/>
      <c r="N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1" t="n"/>
      <c r="L943" s="12" t="n"/>
      <c r="M943" s="12" t="n"/>
      <c r="N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1" t="n"/>
      <c r="L944" s="12" t="n"/>
      <c r="M944" s="12" t="n"/>
      <c r="N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1" t="n"/>
      <c r="L945" s="12" t="n"/>
      <c r="M945" s="12" t="n"/>
      <c r="N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1" t="n"/>
      <c r="L946" s="12" t="n"/>
      <c r="M946" s="12" t="n"/>
      <c r="N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1" t="n"/>
      <c r="L947" s="12" t="n"/>
      <c r="M947" s="12" t="n"/>
      <c r="N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1" t="n"/>
      <c r="L948" s="12" t="n"/>
      <c r="M948" s="12" t="n"/>
      <c r="N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1" t="n"/>
      <c r="L949" s="12" t="n"/>
      <c r="M949" s="12" t="n"/>
      <c r="N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1" t="n"/>
      <c r="L950" s="12" t="n"/>
      <c r="M950" s="12" t="n"/>
      <c r="N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1" t="n"/>
      <c r="L951" s="12" t="n"/>
      <c r="M951" s="12" t="n"/>
      <c r="N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1" t="n"/>
      <c r="L952" s="12" t="n"/>
      <c r="M952" s="12" t="n"/>
      <c r="N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1" t="n"/>
      <c r="L953" s="12" t="n"/>
      <c r="M953" s="12" t="n"/>
      <c r="N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1" t="n"/>
      <c r="L954" s="12" t="n"/>
      <c r="M954" s="12" t="n"/>
      <c r="N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1" t="n"/>
      <c r="L955" s="12" t="n"/>
      <c r="M955" s="12" t="n"/>
      <c r="N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1" t="n"/>
      <c r="L956" s="12" t="n"/>
      <c r="M956" s="12" t="n"/>
      <c r="N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1" t="n"/>
      <c r="L957" s="12" t="n"/>
      <c r="M957" s="12" t="n"/>
      <c r="N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1" t="n"/>
      <c r="L958" s="12" t="n"/>
      <c r="M958" s="12" t="n"/>
      <c r="N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1" t="n"/>
      <c r="L959" s="12" t="n"/>
      <c r="M959" s="12" t="n"/>
      <c r="N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1" t="n"/>
      <c r="L960" s="12" t="n"/>
      <c r="M960" s="12" t="n"/>
      <c r="N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1" t="n"/>
      <c r="L961" s="12" t="n"/>
      <c r="M961" s="12" t="n"/>
      <c r="N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1" t="n"/>
      <c r="L962" s="12" t="n"/>
      <c r="M962" s="12" t="n"/>
      <c r="N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1" t="n"/>
      <c r="L963" s="12" t="n"/>
      <c r="M963" s="12" t="n"/>
      <c r="N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1" t="n"/>
      <c r="L964" s="12" t="n"/>
      <c r="M964" s="12" t="n"/>
      <c r="N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1" t="n"/>
      <c r="L965" s="12" t="n"/>
      <c r="M965" s="12" t="n"/>
      <c r="N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1" t="n"/>
      <c r="L966" s="12" t="n"/>
      <c r="M966" s="12" t="n"/>
      <c r="N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1" t="n"/>
      <c r="L967" s="12" t="n"/>
      <c r="M967" s="12" t="n"/>
      <c r="N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1" t="n"/>
      <c r="L968" s="12" t="n"/>
      <c r="M968" s="12" t="n"/>
      <c r="N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1" t="n"/>
      <c r="L969" s="12" t="n"/>
      <c r="M969" s="12" t="n"/>
      <c r="N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1" t="n"/>
      <c r="L970" s="12" t="n"/>
      <c r="M970" s="12" t="n"/>
      <c r="N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1" t="n"/>
      <c r="L971" s="12" t="n"/>
      <c r="M971" s="12" t="n"/>
      <c r="N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1" t="n"/>
      <c r="L972" s="12" t="n"/>
      <c r="M972" s="12" t="n"/>
      <c r="N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1" t="n"/>
      <c r="L973" s="12" t="n"/>
      <c r="M973" s="12" t="n"/>
      <c r="N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1" t="n"/>
      <c r="L974" s="12" t="n"/>
      <c r="M974" s="12" t="n"/>
      <c r="N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1" t="n"/>
      <c r="L975" s="12" t="n"/>
      <c r="M975" s="12" t="n"/>
      <c r="N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1" t="n"/>
      <c r="L976" s="12" t="n"/>
      <c r="M976" s="12" t="n"/>
      <c r="N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1" t="n"/>
      <c r="L977" s="12" t="n"/>
      <c r="M977" s="12" t="n"/>
      <c r="N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1" t="n"/>
      <c r="L978" s="12" t="n"/>
      <c r="M978" s="12" t="n"/>
      <c r="N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1" t="n"/>
      <c r="L979" s="12" t="n"/>
      <c r="M979" s="12" t="n"/>
      <c r="N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1" t="n"/>
      <c r="L980" s="12" t="n"/>
      <c r="M980" s="12" t="n"/>
      <c r="N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1" t="n"/>
      <c r="L981" s="12" t="n"/>
      <c r="M981" s="12" t="n"/>
      <c r="N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1" t="n"/>
      <c r="L982" s="12" t="n"/>
      <c r="M982" s="12" t="n"/>
      <c r="N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1" t="n"/>
      <c r="L983" s="12" t="n"/>
      <c r="M983" s="12" t="n"/>
      <c r="N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1" t="n"/>
      <c r="L984" s="12" t="n"/>
      <c r="M984" s="12" t="n"/>
      <c r="N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1" t="n"/>
      <c r="L985" s="12" t="n"/>
      <c r="M985" s="12" t="n"/>
      <c r="N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1" t="n"/>
      <c r="L986" s="12" t="n"/>
      <c r="M986" s="12" t="n"/>
      <c r="N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1" t="n"/>
      <c r="L987" s="12" t="n"/>
      <c r="M987" s="12" t="n"/>
      <c r="N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1" t="n"/>
      <c r="L988" s="12" t="n"/>
      <c r="M988" s="12" t="n"/>
      <c r="N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1" t="n"/>
      <c r="L989" s="12" t="n"/>
      <c r="M989" s="12" t="n"/>
      <c r="N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1" t="n"/>
      <c r="L990" s="12" t="n"/>
      <c r="M990" s="12" t="n"/>
      <c r="N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1" t="n"/>
      <c r="L991" s="12" t="n"/>
      <c r="M991" s="12" t="n"/>
      <c r="N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1" t="n"/>
      <c r="L992" s="12" t="n"/>
      <c r="M992" s="12" t="n"/>
      <c r="N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1" t="n"/>
      <c r="L993" s="12" t="n"/>
      <c r="M993" s="12" t="n"/>
      <c r="N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1" t="n"/>
      <c r="L994" s="12" t="n"/>
      <c r="M994" s="12" t="n"/>
      <c r="N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1" t="n"/>
      <c r="L995" s="12" t="n"/>
      <c r="M995" s="12" t="n"/>
      <c r="N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1" t="n"/>
      <c r="L996" s="12" t="n"/>
      <c r="M996" s="12" t="n"/>
      <c r="N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1" t="n"/>
      <c r="L997" s="12" t="n"/>
      <c r="M997" s="12" t="n"/>
      <c r="N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1" t="n"/>
      <c r="L998" s="12" t="n"/>
      <c r="M998" s="12" t="n"/>
      <c r="N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1" t="n"/>
      <c r="L999" s="12" t="n"/>
      <c r="M999" s="12" t="n"/>
      <c r="N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1" t="n"/>
      <c r="L1000" s="12" t="n"/>
      <c r="M1000" s="12" t="n"/>
      <c r="N10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2026-06-07T01:54:38Z</dcterms:created>
  <dcterms:modified xmlns:dcterms="http://purl.org/dc/terms/" xmlns:xsi="http://www.w3.org/2001/XMLSchema-instance" xsi:type="dcterms:W3CDTF">2026-06-07T01:54:38Z</dcterms:modified>
</cp:coreProperties>
</file>